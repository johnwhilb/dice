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c83960631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储君专属卡牌" sheetId="1" r:id="R5dd201268b2a4072"/>
    <x:sheet xmlns:r="http://schemas.openxmlformats.org/officeDocument/2006/relationships" name="关联衍生卡" sheetId="2" r:id="R39f2fca27635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sz val="11"/>
      <x:color rgb="FF262C35"/>
      <x:name val="Microsoft YaHei"/>
    </x:font>
    <x:font>
      <x:b/>
      <x:sz val="16"/>
      <x:color rgb="FF725722"/>
      <x:name val="Microsoft YaHei"/>
    </x:font>
    <x:font>
      <x:sz val="10"/>
      <x:color rgb="FF637184"/>
      <x:name val="Microsoft YaHei"/>
    </x:font>
    <x:font>
      <x:b/>
      <x:sz val="14"/>
      <x:color rgb="FF725722"/>
      <x:name val="Microsoft YaHei"/>
    </x:font>
    <x:font>
      <x:sz val="10"/>
      <x:color rgb="FF26649B"/>
      <x:name val="Microsoft YaHei"/>
    </x:font>
    <x:font>
      <x:b/>
      <x:sz val="11"/>
      <x:color rgb="FF8B5A16"/>
      <x:name val="Microsoft YaHei"/>
    </x:font>
    <x:font>
      <x:b/>
      <x:sz val="11"/>
      <x:color rgb="FFFFFFFF"/>
      <x:name val="Microsoft YaHei"/>
    </x:font>
    <x:font>
      <x:b/>
      <x:sz val="12"/>
      <x:color rgb="FF725722"/>
      <x:name val="Microsoft YaHei"/>
    </x:font>
    <x:font>
      <x:b/>
      <x:sz val="11"/>
      <x:color rgb="FF4B5867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8F5EE"/>
      </x:patternFill>
    </x:fill>
    <x:fill>
      <x:patternFill patternType="solid">
        <x:fgColor rgb="FFEBEEF2"/>
      </x:patternFill>
    </x:fill>
    <x:fill>
      <x:patternFill patternType="solid">
        <x:fgColor rgb="FFF4F5F6"/>
      </x:patternFill>
    </x:fill>
    <x:fill>
      <x:patternFill patternType="solid">
        <x:fgColor rgb="FFE9F0F9"/>
      </x:patternFill>
    </x:fill>
    <x:fill>
      <x:patternFill patternType="solid">
        <x:fgColor rgb="FFFFF0CA"/>
      </x:patternFill>
    </x:fill>
    <x:fill>
      <x:patternFill patternType="solid">
        <x:fgColor rgb="FFEEE4F5"/>
      </x:patternFill>
    </x:fill>
    <x:fill>
      <x:patternFill patternType="solid">
        <x:fgColor rgb="FF725722"/>
      </x:patternFill>
    </x:fill>
    <x:fill>
      <x:patternFill patternType="solid">
        <x:fgColor rgb="FF72572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725722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0"/>
    </x:xf>
    <x:xf numFmtId="0" fontId="7" fillId="9" borderId="0" xfId="0" applyNumberFormat="1" applyFont="1" applyFill="1" applyBorder="1" applyAlignment="1">
      <x:alignment horizontal="center"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5" fillId="2" borderId="0" xfId="0" applyNumberFormat="1" applyFont="1" applyFill="1" applyBorder="1" applyAlignment="1">
      <x:alignment vertical="top" wrapText="0"/>
    </x:xf>
    <x:xf numFmtId="0" fontId="5" fillId="3" borderId="0" xfId="0" applyNumberFormat="1" applyFont="1" applyFill="1" applyBorder="1" applyAlignment="1">
      <x:alignment vertical="top" wrapText="0"/>
    </x:xf>
    <x:xf numFmtId="0" fontId="1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0e7825a80454b" /><Relationship Type="http://schemas.openxmlformats.org/officeDocument/2006/relationships/theme" Target="/xl/theme/theme1.xml" Id="R71da398d743b404d" /><Relationship Type="http://schemas.openxmlformats.org/officeDocument/2006/relationships/sharedStrings" Target="/xl/sharedStrings.xml" Id="R0a8889f15961494f" /><Relationship Type="http://schemas.openxmlformats.org/officeDocument/2006/relationships/worksheet" Target="/xl/worksheets/sheet1.xml" Id="R5dd201268b2a4072" /><Relationship Type="http://schemas.openxmlformats.org/officeDocument/2006/relationships/worksheet" Target="/xl/worksheets/sheet2.xml" Id="R39f2fca2763544e0" /></Relationships>
</file>

<file path=xl/tables/table1.xml><?xml version="1.0" encoding="utf-8"?>
<x:table xmlns:x="http://schemas.openxmlformats.org/spreadsheetml/2006/main" id="1" name="regentImplementedCards" displayName="regentImplementedCards" ref="A7:U67" headerRowCount="1" totalsRowCount="0" totalsRowShown="0">
  <x:tableColumns count="21">
    <x:tableColumn id="1" name="序号"/>
    <x:tableColumn id="2" name="中文卡名"/>
    <x:tableColumn id="3" name="英文卡名"/>
    <x:tableColumn id="4" name="类型"/>
    <x:tableColumn id="5" name="稀有度"/>
    <x:tableColumn id="6" name="基础费用"/>
    <x:tableColumn id="7" name="升级费用"/>
    <x:tableColumn id="8" name="基础效果"/>
    <x:tableColumn id="9" name="升级效果"/>
    <x:tableColumn id="10" name="基础关键词"/>
    <x:tableColumn id="11" name="升级关键词"/>
    <x:tableColumn id="12" name="适用模式"/>
    <x:tableColumn id="13" name="作用目标"/>
    <x:tableColumn id="14" name="卡牌 ID"/>
    <x:tableColumn id="15" name="资料链接"/>
    <x:tableColumn id="16" name="基础星费"/>
    <x:tableColumn id="17" name="升级星费"/>
    <x:tableColumn id="18" name="本游戏卡牌ID"/>
    <x:tableColumn id="19" name="本游戏骰子需求"/>
    <x:tableColumn id="20" name="本游戏效果"/>
    <x:tableColumn id="21" name="实现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entNotIncludedCards" displayName="regentNotIncludedCards" ref="A11:E39" headerRowCount="1" totalsRowCount="0" totalsRowShown="0">
  <x:tableColumns count="5">
    <x:tableColumn id="1" name="原作卡名"/>
    <x:tableColumn id="2" name="原作卡牌ID"/>
    <x:tableColumn id="3" name="类型"/>
    <x:tableColumn id="4" name="稀有度"/>
    <x:tableColumn id="5" name="未接入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fe540193964e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dba0e77d474b19" /></Relationships>
</file>

<file path=xl/worksheets/sheet1.xml><?xml version="1.0" encoding="utf-8"?>
<x:worksheet xmlns:x="http://schemas.openxmlformats.org/spreadsheetml/2006/main">
  <x:sheetPr>
    <x:tabColor rgb="FF725722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19" hidden="0" customWidth="1"/>
    <x:col min="3" max="3" width="25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47" hidden="0" customWidth="1"/>
    <x:col min="9" max="9" width="47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27" hidden="0" customWidth="1"/>
    <x:col min="15" max="15" width="64" hidden="0" customWidth="1"/>
    <x:col min="16" max="16" width="11" hidden="0" customWidth="1"/>
    <x:col min="17" max="17" width="11" hidden="0" customWidth="1"/>
    <x:col min="18" max="18" width="15" hidden="0" customWidth="1"/>
    <x:col min="19" max="19" width="28" hidden="0" customWidth="1"/>
    <x:col min="20" max="20" width="52" hidden="0" customWidth="1"/>
    <x:col min="21" max="2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0" customHeight="1">
      <x:c r="A2" s="3" t="str">
        <x:v>储君 → 刃少女：已实现卡牌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8" customHeight="1">
      <x:c r="A3" s="2" t="str">
        <x:v>原作描述保留供对照；正式游戏效果、骰子、费用和属性见右侧及 Card 表。更新：2026-10-23。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8" customHeight="1">
      <x:c r="A4" s="2" t="str">
        <x:v>主卡数量</x:v>
      </x:c>
      <x:c r="B4" s="2" t="n">
        <x:f>COUNTA(B8:B67)</x:f>
        <x:v>60</x:v>
      </x:c>
      <x:c r="C4" s="2"/>
      <x:c r="D4" s="2" t="str">
        <x:v>攻击</x:v>
      </x:c>
      <x:c r="E4" s="2" t="n">
        <x:f>COUNTIFS(D8:D67,D4)</x:f>
        <x:v>19</x:v>
      </x:c>
      <x:c r="F4" s="2" t="str">
        <x:v>技能</x:v>
      </x:c>
      <x:c r="G4" s="2" t="n">
        <x:f>COUNTIFS(D8:D67,F4)</x:f>
        <x:v>23</x:v>
      </x:c>
      <x:c r="H4" s="2"/>
      <x:c r="I4" s="2"/>
      <x:c r="J4" s="2" t="str">
        <x:v>能力</x:v>
      </x:c>
      <x:c r="K4" s="2" t="n">
        <x:f>COUNTIFS(D8:D67,J4)</x:f>
        <x:v>18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28" customHeight="1">
      <x:c r="A5" s="2" t="str">
        <x:v>共用骰子：符文30001（1/2）、盾牌30002（3/4）、斧头30003（5/6）；能力统一为Buff，星星费用独立于骰子。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28" customHeight="1">
      <x:c r="A6" s="2" t="str">
        <x:v>另有1张已实现衍生牌；未接入的28张原作牌逐张说明见第二页。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32" customHeight="1">
      <x:c r="A7" s="48" t="str">
        <x:v>序号</x:v>
      </x:c>
      <x:c r="B7" s="48" t="str">
        <x:v>中文卡名</x:v>
      </x:c>
      <x:c r="C7" s="48" t="str">
        <x:v>英文卡名</x:v>
      </x:c>
      <x:c r="D7" s="48" t="str">
        <x:v>类型</x:v>
      </x:c>
      <x:c r="E7" s="48" t="str">
        <x:v>稀有度</x:v>
      </x:c>
      <x:c r="F7" s="48" t="str">
        <x:v>基础费用</x:v>
      </x:c>
      <x:c r="G7" s="48" t="str">
        <x:v>升级费用</x:v>
      </x:c>
      <x:c r="H7" s="48" t="str">
        <x:v>基础效果</x:v>
      </x:c>
      <x:c r="I7" s="48" t="str">
        <x:v>升级效果</x:v>
      </x:c>
      <x:c r="J7" s="48" t="str">
        <x:v>基础关键词</x:v>
      </x:c>
      <x:c r="K7" s="48" t="str">
        <x:v>升级关键词</x:v>
      </x:c>
      <x:c r="L7" s="48" t="str">
        <x:v>适用模式</x:v>
      </x:c>
      <x:c r="M7" s="48" t="str">
        <x:v>作用目标</x:v>
      </x:c>
      <x:c r="N7" s="48" t="str">
        <x:v>卡牌 ID</x:v>
      </x:c>
      <x:c r="O7" s="48" t="str">
        <x:v>资料链接</x:v>
      </x:c>
      <x:c r="P7" s="48" t="str">
        <x:v>基础星费</x:v>
      </x:c>
      <x:c r="Q7" s="48" t="str">
        <x:v>升级星费</x:v>
      </x:c>
      <x:c r="R7" s="48" t="str">
        <x:v>本游戏卡牌ID</x:v>
      </x:c>
      <x:c r="S7" s="48" t="str">
        <x:v>本游戏骰子需求</x:v>
      </x:c>
      <x:c r="T7" s="48" t="str">
        <x:v>本游戏效果</x:v>
      </x:c>
      <x:c r="U7" s="48" t="str">
        <x:v>实现说明</x:v>
      </x:c>
    </x:row>
    <x:row r="8" ht="100" customHeight="1">
      <x:c r="A8" s="39" t="n">
        <x:v>36</x:v>
      </x:c>
      <x:c r="B8" s="39" t="str">
        <x:v>星位序列</x:v>
      </x:c>
      <x:c r="C8" s="39" t="str">
        <x:v>Alignment</x:v>
      </x:c>
      <x:c r="D8" s="39" t="str">
        <x:v>技能</x:v>
      </x:c>
      <x:c r="E8" s="39" t="str">
        <x:v>罕见</x:v>
      </x:c>
      <x:c r="F8" s="39" t="n">
        <x:v>0</x:v>
      </x:c>
      <x:c r="G8" s="39" t="n">
        <x:v>0</x:v>
      </x:c>
      <x:c r="H8" s="39" t="str">
        <x:v>获得2点能量。</x:v>
      </x:c>
      <x:c r="I8" s="39" t="str">
        <x:v>获得3点能量。</x:v>
      </x:c>
      <x:c r="J8" s="39" t="str">
        <x:v>无</x:v>
      </x:c>
      <x:c r="K8" s="39" t="str">
        <x:v>无</x:v>
      </x:c>
      <x:c r="L8" s="39" t="str">
        <x:v>单人 / 多人</x:v>
      </x:c>
      <x:c r="M8" s="39" t="str">
        <x:v>自身</x:v>
      </x:c>
      <x:c r="N8" s="39" t="str">
        <x:v>ALIGNMENT</x:v>
      </x:c>
      <x:c r="O8" s="39" t="str">
        <x:v>https://spire-codex.com/zhs/cards/alignment</x:v>
      </x:c>
      <x:c r="P8" s="39" t="n">
        <x:v>3</x:v>
      </x:c>
      <x:c r="Q8" s="39" t="n">
        <x:v>3</x:v>
      </x:c>
      <x:c r="R8" s="39" t="n">
        <x:v>20218</x:v>
      </x:c>
      <x:c r="S8" s="39" t="str">
        <x:v>[]</x:v>
      </x:c>
      <x:c r="T8" s="39" t="str">
        <x:v>消耗3颗星星。获得2点能量。</x:v>
      </x:c>
      <x:c r="U8" s="39" t="str">
        <x:v>已实现；星星费用、奇巧、能力Buff和衍生牌以正式配置为准。</x:v>
      </x:c>
    </x:row>
    <x:row r="9" ht="100" customHeight="1">
      <x:c r="A9" s="39" t="n">
        <x:v>77</x:v>
      </x:c>
      <x:c r="B9" s="39" t="str">
        <x:v>武器库</x:v>
      </x:c>
      <x:c r="C9" s="39" t="str">
        <x:v>Arsenal</x:v>
      </x:c>
      <x:c r="D9" s="39" t="str">
        <x:v>能力</x:v>
      </x:c>
      <x:c r="E9" s="39" t="str">
        <x:v>稀有</x:v>
      </x:c>
      <x:c r="F9" s="39" t="n">
        <x:v>1</x:v>
      </x:c>
      <x:c r="G9" s="39" t="n">
        <x:v>1</x:v>
      </x:c>
      <x:c r="H9" s="39" t="str">
        <x:v>每当你生成一张牌，就获得1点力量。</x:v>
      </x:c>
      <x:c r="I9" s="39" t="str">
        <x:v>每当你生成一张牌，就获得1点力量。</x:v>
      </x:c>
      <x:c r="J9" s="39" t="str">
        <x:v>无</x:v>
      </x:c>
      <x:c r="K9" s="39" t="str">
        <x:v>固有</x:v>
      </x:c>
      <x:c r="L9" s="39" t="str">
        <x:v>单人 / 多人</x:v>
      </x:c>
      <x:c r="M9" s="39" t="str">
        <x:v>自身</x:v>
      </x:c>
      <x:c r="N9" s="39" t="str">
        <x:v>ARSENAL</x:v>
      </x:c>
      <x:c r="O9" s="39" t="str">
        <x:v>https://spire-codex.com/zhs/cards/arsenal</x:v>
      </x:c>
      <x:c r="P9" s="39" t="n">
        <x:v>0</x:v>
      </x:c>
      <x:c r="Q9" s="39" t="n">
        <x:v>0</x:v>
      </x:c>
      <x:c r="R9" s="39" t="n">
        <x:v>20183</x:v>
      </x:c>
      <x:c r="S9" s="39" t="str">
        <x:v>[30003]</x:v>
      </x:c>
      <x:c r="T9" s="39" t="str">
        <x:v>每当你在战斗中生成一张牌，获得1点力量。起始牌组和移动已有牌不触发。</x:v>
      </x:c>
      <x:c r="U9" s="39" t="str">
        <x:v>已实现；星星费用、奇巧、能力Buff和衍生牌以正式配置为准。</x:v>
      </x:c>
    </x:row>
    <x:row r="10" ht="100" customHeight="1">
      <x:c r="A10" s="39" t="n">
        <x:v>5</x:v>
      </x:c>
      <x:c r="B10" s="39" t="str">
        <x:v>星界脉冲</x:v>
      </x:c>
      <x:c r="C10" s="39" t="str">
        <x:v>Astral Pulse</x:v>
      </x:c>
      <x:c r="D10" s="39" t="str">
        <x:v>攻击</x:v>
      </x:c>
      <x:c r="E10" s="39" t="str">
        <x:v>普通</x:v>
      </x:c>
      <x:c r="F10" s="39" t="n">
        <x:v>0</x:v>
      </x:c>
      <x:c r="G10" s="39" t="n">
        <x:v>0</x:v>
      </x:c>
      <x:c r="H10" s="39" t="str">
        <x:v>对所有敌人造成6点伤害两次。</x:v>
      </x:c>
      <x:c r="I10" s="39" t="str">
        <x:v>对所有敌人造成8点伤害两次。</x:v>
      </x:c>
      <x:c r="J10" s="39" t="str">
        <x:v>无</x:v>
      </x:c>
      <x:c r="K10" s="39" t="str">
        <x:v>无</x:v>
      </x:c>
      <x:c r="L10" s="39" t="str">
        <x:v>单人 / 多人</x:v>
      </x:c>
      <x:c r="M10" s="39" t="str">
        <x:v>所有敌人</x:v>
      </x:c>
      <x:c r="N10" s="39" t="str">
        <x:v>ASTRAL_PULSE</x:v>
      </x:c>
      <x:c r="O10" s="39" t="str">
        <x:v>https://spire-codex.com/zhs/cards/astral_pulse</x:v>
      </x:c>
      <x:c r="P10" s="39" t="n">
        <x:v>3</x:v>
      </x:c>
      <x:c r="Q10" s="39" t="n">
        <x:v>3</x:v>
      </x:c>
      <x:c r="R10" s="39" t="n">
        <x:v>20221</x:v>
      </x:c>
      <x:c r="S10" s="39" t="str">
        <x:v>[]</x:v>
      </x:c>
      <x:c r="T10" s="39" t="str">
        <x:v>消耗3颗星星。对敌人造成6点伤害2次。</x:v>
      </x:c>
      <x:c r="U10" s="39" t="str">
        <x:v>已实现；星星费用、奇巧、能力Buff和衍生牌以正式配置为准。</x:v>
      </x:c>
    </x:row>
    <x:row r="11" ht="100" customHeight="1">
      <x:c r="A11" s="39" t="n">
        <x:v>61</x:v>
      </x:c>
      <x:c r="B11" s="39" t="str">
        <x:v>锻打成型</x:v>
      </x:c>
      <x:c r="C11" s="39" t="str">
        <x:v>Beat into Shape</x:v>
      </x:c>
      <x:c r="D11" s="39" t="str">
        <x:v>攻击</x:v>
      </x:c>
      <x:c r="E11" s="39" t="str">
        <x:v>稀有</x:v>
      </x:c>
      <x:c r="F11" s="39" t="n">
        <x:v>1</x:v>
      </x:c>
      <x:c r="G11" s="39" t="n">
        <x:v>1</x:v>
      </x:c>
      <x:c r="H11" s="39" t="str">
        <x:v>造成5点伤害。
铸造5。
本回合内，你此前每击中过该敌人一次，这张牌就额外铸造5点。</x:v>
      </x:c>
      <x:c r="I11" s="39" t="str">
        <x:v>造成7点伤害。
铸造7。
本回合内，你此前每击中过该敌人一次，这张牌就额外铸造7点。</x:v>
      </x:c>
      <x:c r="J11" s="39" t="str">
        <x:v>无</x:v>
      </x:c>
      <x:c r="K11" s="39" t="str">
        <x:v>无</x:v>
      </x:c>
      <x:c r="L11" s="39" t="str">
        <x:v>单人 / 多人</x:v>
      </x:c>
      <x:c r="M11" s="39" t="str">
        <x:v>单个敌人</x:v>
      </x:c>
      <x:c r="N11" s="39" t="str">
        <x:v>BEAT_INTO_SHAPE</x:v>
      </x:c>
      <x:c r="O11" s="39" t="str">
        <x:v>https://spire-codex.com/zhs/cards/beat_into_shape</x:v>
      </x:c>
      <x:c r="P11" s="39" t="n">
        <x:v>0</x:v>
      </x:c>
      <x:c r="Q11" s="39" t="n">
        <x:v>0</x:v>
      </x:c>
      <x:c r="R11" s="39" t="n">
        <x:v>20229</x:v>
      </x:c>
      <x:c r="S11" s="39" t="str">
        <x:v>[30003]</x:v>
      </x:c>
      <x:c r="T11" s="39" t="str">
        <x:v>造成5点伤害。本回合此前每打出一张攻击牌，铸造5（至少铸造5）。</x:v>
      </x:c>
      <x:c r="U11" s="39" t="str">
        <x:v>已实现；星星费用、奇巧、能力Buff和衍生牌以正式配置为准。</x:v>
      </x:c>
    </x:row>
    <x:row r="12" ht="100" customHeight="1">
      <x:c r="A12" s="39" t="n">
        <x:v>70</x:v>
      </x:c>
      <x:c r="B12" s="39" t="str">
        <x:v>大爆炸</x:v>
      </x:c>
      <x:c r="C12" s="39" t="str">
        <x:v>Big Bang</x:v>
      </x:c>
      <x:c r="D12" s="39" t="str">
        <x:v>技能</x:v>
      </x:c>
      <x:c r="E12" s="39" t="str">
        <x:v>稀有</x:v>
      </x:c>
      <x:c r="F12" s="39" t="n">
        <x:v>0</x:v>
      </x:c>
      <x:c r="G12" s="39" t="n">
        <x:v>0</x:v>
      </x:c>
      <x:c r="H12" s="39" t="str">
        <x:v>抽1张牌。
获得1点能量。
获得1颗星星。
铸造5。</x:v>
      </x:c>
      <x:c r="I12" s="39" t="str">
        <x:v>抽1张牌。
获得1点能量。
获得1颗星星。
铸造5。</x:v>
      </x:c>
      <x:c r="J12" s="39" t="str">
        <x:v>消耗</x:v>
      </x:c>
      <x:c r="K12" s="39" t="str">
        <x:v>消耗、固有</x:v>
      </x:c>
      <x:c r="L12" s="39" t="str">
        <x:v>单人 / 多人</x:v>
      </x:c>
      <x:c r="M12" s="39" t="str">
        <x:v>自身</x:v>
      </x:c>
      <x:c r="N12" s="39" t="str">
        <x:v>BIG_BANG</x:v>
      </x:c>
      <x:c r="O12" s="39" t="str">
        <x:v>https://spire-codex.com/zhs/cards/big_bang</x:v>
      </x:c>
      <x:c r="P12" s="39" t="n">
        <x:v>0</x:v>
      </x:c>
      <x:c r="Q12" s="39" t="n">
        <x:v>0</x:v>
      </x:c>
      <x:c r="R12" s="39" t="n">
        <x:v>20212</x:v>
      </x:c>
      <x:c r="S12" s="39" t="str">
        <x:v>[]</x:v>
      </x:c>
      <x:c r="T12" s="39" t="str">
        <x:v>抽1张牌。获得1点能量和1颗星星。铸造5。消耗。</x:v>
      </x:c>
      <x:c r="U12" s="39" t="str">
        <x:v>已实现；星星费用、奇巧、能力Buff和衍生牌以正式配置为准。</x:v>
      </x:c>
    </x:row>
    <x:row r="13" ht="100" customHeight="1">
      <x:c r="A13" s="39" t="n">
        <x:v>53</x:v>
      </x:c>
      <x:c r="B13" s="39" t="str">
        <x:v>黑洞</x:v>
      </x:c>
      <x:c r="C13" s="39" t="str">
        <x:v>Black Hole</x:v>
      </x:c>
      <x:c r="D13" s="39" t="str">
        <x:v>能力</x:v>
      </x:c>
      <x:c r="E13" s="39" t="str">
        <x:v>罕见</x:v>
      </x:c>
      <x:c r="F13" s="39" t="n">
        <x:v>1</x:v>
      </x:c>
      <x:c r="G13" s="39" t="n">
        <x:v>1</x:v>
      </x:c>
      <x:c r="H13" s="39" t="str">
        <x:v>每当你花费或获得1颗星星时，对所有敌人造成3点伤害。</x:v>
      </x:c>
      <x:c r="I13" s="39" t="str">
        <x:v>每当你花费或获得1颗星星时，对所有敌人造成4点伤害。</x:v>
      </x:c>
      <x:c r="J13" s="39" t="str">
        <x:v>无</x:v>
      </x:c>
      <x:c r="K13" s="39" t="str">
        <x:v>无</x:v>
      </x:c>
      <x:c r="L13" s="39" t="str">
        <x:v>单人 / 多人</x:v>
      </x:c>
      <x:c r="M13" s="39" t="str">
        <x:v>自身</x:v>
      </x:c>
      <x:c r="N13" s="39" t="str">
        <x:v>BLACK_HOLE</x:v>
      </x:c>
      <x:c r="O13" s="39" t="str">
        <x:v>https://spire-codex.com/zhs/cards/black_hole</x:v>
      </x:c>
      <x:c r="P13" s="39" t="n">
        <x:v>0</x:v>
      </x:c>
      <x:c r="Q13" s="39" t="n">
        <x:v>0</x:v>
      </x:c>
      <x:c r="R13" s="39" t="n">
        <x:v>20189</x:v>
      </x:c>
      <x:c r="S13" s="39" t="str">
        <x:v>[30003]</x:v>
      </x:c>
      <x:c r="T13" s="39" t="str">
        <x:v>每获得或花费1颗星星，对敌人造成3点特殊伤害。</x:v>
      </x:c>
      <x:c r="U13" s="39" t="str">
        <x:v>已实现；星星费用、奇巧、能力Buff和衍生牌以正式配置为准。</x:v>
      </x:c>
    </x:row>
    <x:row r="14" ht="100" customHeight="1">
      <x:c r="A14" s="39" t="n">
        <x:v>37</x:v>
      </x:c>
      <x:c r="B14" s="39" t="str">
        <x:v>铸墙</x:v>
      </x:c>
      <x:c r="C14" s="39" t="str">
        <x:v>Bulwark</x:v>
      </x:c>
      <x:c r="D14" s="39" t="str">
        <x:v>技能</x:v>
      </x:c>
      <x:c r="E14" s="39" t="str">
        <x:v>罕见</x:v>
      </x:c>
      <x:c r="F14" s="39" t="n">
        <x:v>2</x:v>
      </x:c>
      <x:c r="G14" s="39" t="n">
        <x:v>2</x:v>
      </x:c>
      <x:c r="H14" s="39" t="str">
        <x:v>获得12点格挡。
铸造10。</x:v>
      </x:c>
      <x:c r="I14" s="39" t="str">
        <x:v>获得15点格挡。
铸造13。</x:v>
      </x:c>
      <x:c r="J14" s="39" t="str">
        <x:v>无</x:v>
      </x:c>
      <x:c r="K14" s="39" t="str">
        <x:v>无</x:v>
      </x:c>
      <x:c r="L14" s="39" t="str">
        <x:v>单人 / 多人</x:v>
      </x:c>
      <x:c r="M14" s="39" t="str">
        <x:v>自身</x:v>
      </x:c>
      <x:c r="N14" s="39" t="str">
        <x:v>BULWARK</x:v>
      </x:c>
      <x:c r="O14" s="39" t="str">
        <x:v>https://spire-codex.com/zhs/cards/bulwark</x:v>
      </x:c>
      <x:c r="P14" s="39" t="n">
        <x:v>0</x:v>
      </x:c>
      <x:c r="Q14" s="39" t="n">
        <x:v>0</x:v>
      </x:c>
      <x:c r="R14" s="39" t="n">
        <x:v>20226</x:v>
      </x:c>
      <x:c r="S14" s="39" t="str">
        <x:v>[30002,30002]</x:v>
      </x:c>
      <x:c r="T14" s="39" t="str">
        <x:v>获得12点格挡。铸造10。</x:v>
      </x:c>
      <x:c r="U14" s="39" t="str">
        <x:v>已实现；星星费用、奇巧、能力Buff和衍生牌以正式配置为准。</x:v>
      </x:c>
    </x:row>
    <x:row r="15" ht="100" customHeight="1">
      <x:c r="A15" s="39" t="n">
        <x:v>71</x:v>
      </x:c>
      <x:c r="B15" s="39" t="str">
        <x:v>新生之喜</x:v>
      </x:c>
      <x:c r="C15" s="39" t="str">
        <x:v>Bundle of Joy</x:v>
      </x:c>
      <x:c r="D15" s="39" t="str">
        <x:v>技能</x:v>
      </x:c>
      <x:c r="E15" s="39" t="str">
        <x:v>稀有</x:v>
      </x:c>
      <x:c r="F15" s="39" t="n">
        <x:v>1</x:v>
      </x:c>
      <x:c r="G15" s="39" t="n">
        <x:v>1</x:v>
      </x:c>
      <x:c r="H15" s="39" t="str">
        <x:v>将3张随机无色牌添加到你的手牌。</x:v>
      </x:c>
      <x:c r="I15" s="39" t="str">
        <x:v>将4张随机无色牌添加到你的手牌。</x:v>
      </x:c>
      <x:c r="J15" s="39" t="str">
        <x:v>消耗</x:v>
      </x:c>
      <x:c r="K15" s="39" t="str">
        <x:v>消耗</x:v>
      </x:c>
      <x:c r="L15" s="39" t="str">
        <x:v>单人 / 多人</x:v>
      </x:c>
      <x:c r="M15" s="39" t="str">
        <x:v>自身</x:v>
      </x:c>
      <x:c r="N15" s="39" t="str">
        <x:v>BUNDLE_OF_JOY</x:v>
      </x:c>
      <x:c r="O15" s="39" t="str">
        <x:v>https://spire-codex.com/zhs/cards/bundle_of_joy</x:v>
      </x:c>
      <x:c r="P15" s="39" t="n">
        <x:v>0</x:v>
      </x:c>
      <x:c r="Q15" s="39" t="n">
        <x:v>0</x:v>
      </x:c>
      <x:c r="R15" s="39" t="n">
        <x:v>20231</x:v>
      </x:c>
      <x:c r="S15" s="39" t="str">
        <x:v>[30001,30001]</x:v>
      </x:c>
      <x:c r="T15" s="39" t="str">
        <x:v>随机生成3张当前角色普通奖励牌。消耗。</x:v>
      </x:c>
      <x:c r="U15" s="39" t="str">
        <x:v>已实现；星星费用、奇巧、能力Buff和衍生牌以正式配置为准。</x:v>
      </x:c>
    </x:row>
    <x:row r="16" ht="100" customHeight="1">
      <x:c r="A16" s="39" t="n">
        <x:v>6</x:v>
      </x:c>
      <x:c r="B16" s="39" t="str">
        <x:v>天穹之力</x:v>
      </x:c>
      <x:c r="C16" s="39" t="str">
        <x:v>Celestial Might</x:v>
      </x:c>
      <x:c r="D16" s="39" t="str">
        <x:v>攻击</x:v>
      </x:c>
      <x:c r="E16" s="39" t="str">
        <x:v>普通</x:v>
      </x:c>
      <x:c r="F16" s="39" t="n">
        <x:v>2</x:v>
      </x:c>
      <x:c r="G16" s="39" t="n">
        <x:v>2</x:v>
      </x:c>
      <x:c r="H16" s="39" t="str">
        <x:v>造成6点伤害3次。</x:v>
      </x:c>
      <x:c r="I16" s="39" t="str">
        <x:v>造成6点伤害4次。</x:v>
      </x:c>
      <x:c r="J16" s="39" t="str">
        <x:v>无</x:v>
      </x:c>
      <x:c r="K16" s="39" t="str">
        <x:v>无</x:v>
      </x:c>
      <x:c r="L16" s="39" t="str">
        <x:v>单人 / 多人</x:v>
      </x:c>
      <x:c r="M16" s="39" t="str">
        <x:v>单个敌人</x:v>
      </x:c>
      <x:c r="N16" s="39" t="str">
        <x:v>CELESTIAL_MIGHT</x:v>
      </x:c>
      <x:c r="O16" s="39" t="str">
        <x:v>https://spire-codex.com/zhs/cards/celestial_might</x:v>
      </x:c>
      <x:c r="P16" s="39" t="n">
        <x:v>0</x:v>
      </x:c>
      <x:c r="Q16" s="39" t="n">
        <x:v>0</x:v>
      </x:c>
      <x:c r="R16" s="39" t="n">
        <x:v>20240</x:v>
      </x:c>
      <x:c r="S16" s="39" t="str">
        <x:v>[30003,30003]</x:v>
      </x:c>
      <x:c r="T16" s="39" t="str">
        <x:v>造成6点伤害3次。</x:v>
      </x:c>
      <x:c r="U16" s="39" t="str">
        <x:v>已实现；星星费用、奇巧、能力Buff和衍生牌以正式配置为准。</x:v>
      </x:c>
    </x:row>
    <x:row r="17" ht="100" customHeight="1">
      <x:c r="A17" s="39" t="n">
        <x:v>54</x:v>
      </x:c>
      <x:c r="B17" s="39" t="str">
        <x:v>群星之子</x:v>
      </x:c>
      <x:c r="C17" s="39" t="str">
        <x:v>Child of the Stars</x:v>
      </x:c>
      <x:c r="D17" s="39" t="str">
        <x:v>能力</x:v>
      </x:c>
      <x:c r="E17" s="39" t="str">
        <x:v>罕见</x:v>
      </x:c>
      <x:c r="F17" s="39" t="n">
        <x:v>1</x:v>
      </x:c>
      <x:c r="G17" s="39" t="n">
        <x:v>1</x:v>
      </x:c>
      <x:c r="H17" s="39" t="str">
        <x:v>每当你花费1颗星星时，每花费1颗星星，获得2点格挡。</x:v>
      </x:c>
      <x:c r="I17" s="39" t="str">
        <x:v>每当你花费1颗星星时，每花费1颗星星，获得3点格挡。</x:v>
      </x:c>
      <x:c r="J17" s="39" t="str">
        <x:v>无</x:v>
      </x:c>
      <x:c r="K17" s="39" t="str">
        <x:v>无</x:v>
      </x:c>
      <x:c r="L17" s="39" t="str">
        <x:v>单人 / 多人</x:v>
      </x:c>
      <x:c r="M17" s="39" t="str">
        <x:v>自身</x:v>
      </x:c>
      <x:c r="N17" s="39" t="str">
        <x:v>CHILD_OF_THE_STARS</x:v>
      </x:c>
      <x:c r="O17" s="39" t="str">
        <x:v>https://spire-codex.com/zhs/cards/child_of_the_stars</x:v>
      </x:c>
      <x:c r="P17" s="39" t="n">
        <x:v>0</x:v>
      </x:c>
      <x:c r="Q17" s="39" t="n">
        <x:v>0</x:v>
      </x:c>
      <x:c r="R17" s="39" t="n">
        <x:v>20188</x:v>
      </x:c>
      <x:c r="S17" s="39" t="str">
        <x:v>[30002]</x:v>
      </x:c>
      <x:c r="T17" s="39" t="str">
        <x:v>每花费1颗星星，获得2点格挡。</x:v>
      </x:c>
      <x:c r="U17" s="39" t="str">
        <x:v>已实现；星星费用、奇巧、能力Buff和衍生牌以正式配置为准。</x:v>
      </x:c>
    </x:row>
    <x:row r="18" ht="100" customHeight="1">
      <x:c r="A18" s="39" t="n">
        <x:v>15</x:v>
      </x:c>
      <x:c r="B18" s="39" t="str">
        <x:v>群星斗篷</x:v>
      </x:c>
      <x:c r="C18" s="39" t="str">
        <x:v>Cloak of Stars</x:v>
      </x:c>
      <x:c r="D18" s="39" t="str">
        <x:v>技能</x:v>
      </x:c>
      <x:c r="E18" s="39" t="str">
        <x:v>普通</x:v>
      </x:c>
      <x:c r="F18" s="39" t="n">
        <x:v>0</x:v>
      </x:c>
      <x:c r="G18" s="39" t="n">
        <x:v>0</x:v>
      </x:c>
      <x:c r="H18" s="39" t="str">
        <x:v>获得7点格挡。</x:v>
      </x:c>
      <x:c r="I18" s="39" t="str">
        <x:v>获得10点格挡。</x:v>
      </x:c>
      <x:c r="J18" s="39" t="str">
        <x:v>无</x:v>
      </x:c>
      <x:c r="K18" s="39" t="str">
        <x:v>无</x:v>
      </x:c>
      <x:c r="L18" s="39" t="str">
        <x:v>单人 / 多人</x:v>
      </x:c>
      <x:c r="M18" s="39" t="str">
        <x:v>自身</x:v>
      </x:c>
      <x:c r="N18" s="39" t="str">
        <x:v>CLOAK_OF_STARS</x:v>
      </x:c>
      <x:c r="O18" s="39" t="str">
        <x:v>https://spire-codex.com/zhs/cards/cloak_of_stars</x:v>
      </x:c>
      <x:c r="P18" s="39" t="n">
        <x:v>1</x:v>
      </x:c>
      <x:c r="Q18" s="39" t="n">
        <x:v>1</x:v>
      </x:c>
      <x:c r="R18" s="39" t="n">
        <x:v>20217</x:v>
      </x:c>
      <x:c r="S18" s="39" t="str">
        <x:v>[]</x:v>
      </x:c>
      <x:c r="T18" s="39" t="str">
        <x:v>消耗1颗星星。获得7点格挡。</x:v>
      </x:c>
      <x:c r="U18" s="39" t="str">
        <x:v>已实现；星星费用、奇巧、能力Buff和衍生牌以正式配置为准。</x:v>
      </x:c>
    </x:row>
    <x:row r="19" ht="100" customHeight="1">
      <x:c r="A19" s="39" t="n">
        <x:v>63</x:v>
      </x:c>
      <x:c r="B19" s="39" t="str">
        <x:v>彗星</x:v>
      </x:c>
      <x:c r="C19" s="39" t="str">
        <x:v>Comet</x:v>
      </x:c>
      <x:c r="D19" s="39" t="str">
        <x:v>攻击</x:v>
      </x:c>
      <x:c r="E19" s="39" t="str">
        <x:v>稀有</x:v>
      </x:c>
      <x:c r="F19" s="39" t="n">
        <x:v>0</x:v>
      </x:c>
      <x:c r="G19" s="39" t="n">
        <x:v>0</x:v>
      </x:c>
      <x:c r="H19" s="39" t="str">
        <x:v>造成33点伤害。
给予3层虚弱。
给予3层易伤。</x:v>
      </x:c>
      <x:c r="I19" s="39" t="str">
        <x:v>造成44点伤害。
给予3层虚弱。
给予3层易伤。</x:v>
      </x:c>
      <x:c r="J19" s="39" t="str">
        <x:v>无</x:v>
      </x:c>
      <x:c r="K19" s="39" t="str">
        <x:v>无</x:v>
      </x:c>
      <x:c r="L19" s="39" t="str">
        <x:v>单人 / 多人</x:v>
      </x:c>
      <x:c r="M19" s="39" t="str">
        <x:v>单个敌人</x:v>
      </x:c>
      <x:c r="N19" s="39" t="str">
        <x:v>COMET</x:v>
      </x:c>
      <x:c r="O19" s="39" t="str">
        <x:v>https://spire-codex.com/zhs/cards/comet</x:v>
      </x:c>
      <x:c r="P19" s="39" t="n">
        <x:v>5</x:v>
      </x:c>
      <x:c r="Q19" s="39" t="n">
        <x:v>5</x:v>
      </x:c>
      <x:c r="R19" s="39" t="n">
        <x:v>20215</x:v>
      </x:c>
      <x:c r="S19" s="39" t="str">
        <x:v>[]</x:v>
      </x:c>
      <x:c r="T19" s="39" t="str">
        <x:v>消耗5颗星星。造成33点伤害。给予3层虚弱和3层易伤。</x:v>
      </x:c>
      <x:c r="U19" s="39" t="str">
        <x:v>已实现；星星费用、奇巧、能力Buff和衍生牌以正式配置为准。</x:v>
      </x:c>
    </x:row>
    <x:row r="20" ht="100" customHeight="1">
      <x:c r="A20" s="39" t="n">
        <x:v>16</x:v>
      </x:c>
      <x:c r="B20" s="39" t="str">
        <x:v>宇宙冷漠</x:v>
      </x:c>
      <x:c r="C20" s="39" t="str">
        <x:v>Cosmic Indifference</x:v>
      </x:c>
      <x:c r="D20" s="39" t="str">
        <x:v>技能</x:v>
      </x:c>
      <x:c r="E20" s="39" t="str">
        <x:v>普通</x:v>
      </x:c>
      <x:c r="F20" s="39" t="n">
        <x:v>1</x:v>
      </x:c>
      <x:c r="G20" s="39" t="n">
        <x:v>1</x:v>
      </x:c>
      <x:c r="H20" s="39" t="str">
        <x:v>获得6点格挡。
将弃牌堆中的一张牌放到你的抽牌堆的顶部。</x:v>
      </x:c>
      <x:c r="I20" s="39" t="str">
        <x:v>获得9点格挡。
将弃牌堆中的一张牌放到你的抽牌堆的顶部。</x:v>
      </x:c>
      <x:c r="J20" s="39" t="str">
        <x:v>无</x:v>
      </x:c>
      <x:c r="K20" s="39" t="str">
        <x:v>无</x:v>
      </x:c>
      <x:c r="L20" s="39" t="str">
        <x:v>单人 / 多人</x:v>
      </x:c>
      <x:c r="M20" s="39" t="str">
        <x:v>自身</x:v>
      </x:c>
      <x:c r="N20" s="39" t="str">
        <x:v>COSMIC_INDIFFERENCE</x:v>
      </x:c>
      <x:c r="O20" s="39" t="str">
        <x:v>https://spire-codex.com/zhs/cards/cosmic_indifference</x:v>
      </x:c>
      <x:c r="P20" s="39" t="n">
        <x:v>0</x:v>
      </x:c>
      <x:c r="Q20" s="39" t="n">
        <x:v>0</x:v>
      </x:c>
      <x:c r="R20" s="39" t="n">
        <x:v>20113</x:v>
      </x:c>
      <x:c r="S20" s="39" t="str">
        <x:v>[30002]</x:v>
      </x:c>
      <x:c r="T20" s="39" t="str">
        <x:v>获得6点格挡。
将弃牌堆中的1张牌放到抽牌堆顶部。</x:v>
      </x:c>
      <x:c r="U20" s="39" t="str">
        <x:v>已实现；星星费用、奇巧、能力Buff和衍生牌以正式配置为准。</x:v>
      </x:c>
    </x:row>
    <x:row r="21" ht="100" customHeight="1">
      <x:c r="A21" s="39" t="n">
        <x:v>9</x:v>
      </x:c>
      <x:c r="B21" s="39" t="str">
        <x:v>下砸</x:v>
      </x:c>
      <x:c r="C21" s="39" t="str">
        <x:v>Crush Under</x:v>
      </x:c>
      <x:c r="D21" s="39" t="str">
        <x:v>攻击</x:v>
      </x:c>
      <x:c r="E21" s="39" t="str">
        <x:v>普通</x:v>
      </x:c>
      <x:c r="F21" s="39" t="n">
        <x:v>1</x:v>
      </x:c>
      <x:c r="G21" s="39" t="n">
        <x:v>1</x:v>
      </x:c>
      <x:c r="H21" s="39" t="str">
        <x:v>对所有敌人造成7点伤害。所有敌人在本回合失去1点力量。</x:v>
      </x:c>
      <x:c r="I21" s="39" t="str">
        <x:v>对所有敌人造成8点伤害。所有敌人在本回合失去2点力量。</x:v>
      </x:c>
      <x:c r="J21" s="39" t="str">
        <x:v>无</x:v>
      </x:c>
      <x:c r="K21" s="39" t="str">
        <x:v>无</x:v>
      </x:c>
      <x:c r="L21" s="39" t="str">
        <x:v>单人 / 多人</x:v>
      </x:c>
      <x:c r="M21" s="39" t="str">
        <x:v>所有敌人</x:v>
      </x:c>
      <x:c r="N21" s="39" t="str">
        <x:v>CRUSH_UNDER</x:v>
      </x:c>
      <x:c r="O21" s="39" t="str">
        <x:v>https://spire-codex.com/zhs/cards/crush_under</x:v>
      </x:c>
      <x:c r="P21" s="39" t="n">
        <x:v>0</x:v>
      </x:c>
      <x:c r="Q21" s="39" t="n">
        <x:v>0</x:v>
      </x:c>
      <x:c r="R21" s="39" t="n">
        <x:v>20114</x:v>
      </x:c>
      <x:c r="S21" s="39" t="str">
        <x:v>[30002]</x:v>
      </x:c>
      <x:c r="T21" s="39" t="str">
        <x:v>造成5点伤害。
敌人失去1点力量，直到敌人的本次行动结束后恢复。</x:v>
      </x:c>
      <x:c r="U21" s="39" t="str">
        <x:v>已实现；星星费用、奇巧、能力Buff和衍生牌以正式配置为准。</x:v>
      </x:c>
    </x:row>
    <x:row r="22" ht="100" customHeight="1">
      <x:c r="A22" s="39" t="n">
        <x:v>3</x:v>
      </x:c>
      <x:c r="B22" s="39" t="str">
        <x:v>防御</x:v>
      </x:c>
      <x:c r="C22" s="39" t="str">
        <x:v>Defend</x:v>
      </x:c>
      <x:c r="D22" s="39" t="str">
        <x:v>技能</x:v>
      </x:c>
      <x:c r="E22" s="39" t="str">
        <x:v>基础</x:v>
      </x:c>
      <x:c r="F22" s="39" t="n">
        <x:v>1</x:v>
      </x:c>
      <x:c r="G22" s="39" t="n">
        <x:v>1</x:v>
      </x:c>
      <x:c r="H22" s="39" t="str">
        <x:v>获得5点格挡。</x:v>
      </x:c>
      <x:c r="I22" s="39" t="str">
        <x:v>获得8点格挡。</x:v>
      </x:c>
      <x:c r="J22" s="39" t="str">
        <x:v>无</x:v>
      </x:c>
      <x:c r="K22" s="39" t="str">
        <x:v>无</x:v>
      </x:c>
      <x:c r="L22" s="39" t="str">
        <x:v>单人 / 多人</x:v>
      </x:c>
      <x:c r="M22" s="39" t="str">
        <x:v>自身</x:v>
      </x:c>
      <x:c r="N22" s="39" t="str">
        <x:v>DEFEND_REGENT</x:v>
      </x:c>
      <x:c r="O22" s="39" t="str">
        <x:v>https://spire-codex.com/zhs/cards/defend_regent</x:v>
      </x:c>
      <x:c r="P22" s="39" t="n">
        <x:v>0</x:v>
      </x:c>
      <x:c r="Q22" s="39" t="n">
        <x:v>0</x:v>
      </x:c>
      <x:c r="R22" s="39" t="n">
        <x:v>20115</x:v>
      </x:c>
      <x:c r="S22" s="39" t="str">
        <x:v>[30002]</x:v>
      </x:c>
      <x:c r="T22" s="39" t="str">
        <x:v>获得5点格挡。</x:v>
      </x:c>
      <x:c r="U22" s="39" t="str">
        <x:v>已实现；星星费用、奇巧、能力Buff和衍生牌以正式配置为准。</x:v>
      </x:c>
    </x:row>
    <x:row r="23" ht="100" customHeight="1">
      <x:c r="A23" s="39" t="n">
        <x:v>25</x:v>
      </x:c>
      <x:c r="B23" s="39" t="str">
        <x:v>葬送</x:v>
      </x:c>
      <x:c r="C23" s="39" t="str">
        <x:v>Devastate</x:v>
      </x:c>
      <x:c r="D23" s="39" t="str">
        <x:v>攻击</x:v>
      </x:c>
      <x:c r="E23" s="39" t="str">
        <x:v>罕见</x:v>
      </x:c>
      <x:c r="F23" s="39" t="n">
        <x:v>1</x:v>
      </x:c>
      <x:c r="G23" s="39" t="n">
        <x:v>1</x:v>
      </x:c>
      <x:c r="H23" s="39" t="str">
        <x:v>造成30点伤害。</x:v>
      </x:c>
      <x:c r="I23" s="39" t="str">
        <x:v>造成40点伤害。</x:v>
      </x:c>
      <x:c r="J23" s="39" t="str">
        <x:v>无</x:v>
      </x:c>
      <x:c r="K23" s="39" t="str">
        <x:v>无</x:v>
      </x:c>
      <x:c r="L23" s="39" t="str">
        <x:v>单人 / 多人</x:v>
      </x:c>
      <x:c r="M23" s="39" t="str">
        <x:v>单个敌人</x:v>
      </x:c>
      <x:c r="N23" s="39" t="str">
        <x:v>DEVASTATE</x:v>
      </x:c>
      <x:c r="O23" s="39" t="str">
        <x:v>https://spire-codex.com/zhs/cards/devastate</x:v>
      </x:c>
      <x:c r="P23" s="39" t="n">
        <x:v>4</x:v>
      </x:c>
      <x:c r="Q23" s="39" t="n">
        <x:v>4</x:v>
      </x:c>
      <x:c r="R23" s="39" t="n">
        <x:v>20216</x:v>
      </x:c>
      <x:c r="S23" s="39" t="str">
        <x:v>[30003]</x:v>
      </x:c>
      <x:c r="T23" s="39" t="str">
        <x:v>消耗4颗星星。造成30点伤害。</x:v>
      </x:c>
      <x:c r="U23" s="39" t="str">
        <x:v>已实现；星星费用、奇巧、能力Buff和衍生牌以正式配置为准。</x:v>
      </x:c>
    </x:row>
    <x:row r="24" ht="100" customHeight="1">
      <x:c r="A24" s="39" t="n">
        <x:v>1</x:v>
      </x:c>
      <x:c r="B24" s="39" t="str">
        <x:v>陨星</x:v>
      </x:c>
      <x:c r="C24" s="39" t="str">
        <x:v>Falling Star</x:v>
      </x:c>
      <x:c r="D24" s="39" t="str">
        <x:v>攻击</x:v>
      </x:c>
      <x:c r="E24" s="39" t="str">
        <x:v>基础</x:v>
      </x:c>
      <x:c r="F24" s="39" t="n">
        <x:v>0</x:v>
      </x:c>
      <x:c r="G24" s="39" t="n">
        <x:v>0</x:v>
      </x:c>
      <x:c r="H24" s="39" t="str">
        <x:v>造成8点伤害。
给予1层虚弱。
给予1层易伤。</x:v>
      </x:c>
      <x:c r="I24" s="39" t="str">
        <x:v>造成12点伤害。
给予1层虚弱。
给予1层易伤。</x:v>
      </x:c>
      <x:c r="J24" s="39" t="str">
        <x:v>无</x:v>
      </x:c>
      <x:c r="K24" s="39" t="str">
        <x:v>无</x:v>
      </x:c>
      <x:c r="L24" s="39" t="str">
        <x:v>单人 / 多人</x:v>
      </x:c>
      <x:c r="M24" s="39" t="str">
        <x:v>单个敌人</x:v>
      </x:c>
      <x:c r="N24" s="39" t="str">
        <x:v>FALLING_STAR</x:v>
      </x:c>
      <x:c r="O24" s="39" t="str">
        <x:v>https://spire-codex.com/zhs/cards/falling_star</x:v>
      </x:c>
      <x:c r="P24" s="39" t="n">
        <x:v>2</x:v>
      </x:c>
      <x:c r="Q24" s="39" t="n">
        <x:v>2</x:v>
      </x:c>
      <x:c r="R24" s="39" t="n">
        <x:v>20220</x:v>
      </x:c>
      <x:c r="S24" s="39" t="str">
        <x:v>[]</x:v>
      </x:c>
      <x:c r="T24" s="39" t="str">
        <x:v>消耗2颗星星。造成8点伤害，给予1层虚弱和1层易伤。</x:v>
      </x:c>
      <x:c r="U24" s="39" t="str">
        <x:v>已实现；星星费用、奇巧、能力Buff和衍生牌以正式配置为准。</x:v>
      </x:c>
    </x:row>
    <x:row r="25" ht="100" customHeight="1">
      <x:c r="A25" s="39" t="n">
        <x:v>73</x:v>
      </x:c>
      <x:c r="B25" s="39" t="str">
        <x:v>既定事项</x:v>
      </x:c>
      <x:c r="C25" s="39" t="str">
        <x:v>Foregone Conclusion</x:v>
      </x:c>
      <x:c r="D25" s="39" t="str">
        <x:v>技能</x:v>
      </x:c>
      <x:c r="E25" s="39" t="str">
        <x:v>稀有</x:v>
      </x:c>
      <x:c r="F25" s="39" t="n">
        <x:v>1</x:v>
      </x:c>
      <x:c r="G25" s="39" t="n">
        <x:v>1</x:v>
      </x:c>
      <x:c r="H25" s="39" t="str">
        <x:v>在下个回合，从你的抽牌堆中选择2张牌放入你的手牌。</x:v>
      </x:c>
      <x:c r="I25" s="39" t="str">
        <x:v>在下个回合，从你的抽牌堆中选择3张牌放入你的手牌。</x:v>
      </x:c>
      <x:c r="J25" s="39" t="str">
        <x:v>无</x:v>
      </x:c>
      <x:c r="K25" s="39" t="str">
        <x:v>无</x:v>
      </x:c>
      <x:c r="L25" s="39" t="str">
        <x:v>单人 / 多人</x:v>
      </x:c>
      <x:c r="M25" s="39" t="str">
        <x:v>自身</x:v>
      </x:c>
      <x:c r="N25" s="39" t="str">
        <x:v>FOREGONE_CONCLUSION</x:v>
      </x:c>
      <x:c r="O25" s="39" t="str">
        <x:v>https://spire-codex.com/zhs/cards/foregone_conclusion</x:v>
      </x:c>
      <x:c r="P25" s="39" t="n">
        <x:v>0</x:v>
      </x:c>
      <x:c r="Q25" s="39" t="n">
        <x:v>0</x:v>
      </x:c>
      <x:c r="R25" s="39" t="n">
        <x:v>20116</x:v>
      </x:c>
      <x:c r="S25" s="39" t="str">
        <x:v>[30001]</x:v>
      </x:c>
      <x:c r="T25" s="39" t="str">
        <x:v>在下回合开始时，从抽牌堆中选择最多2张牌放入手牌；满手或无牌时停止。</x:v>
      </x:c>
      <x:c r="U25" s="39" t="str">
        <x:v>已实现；星星费用、奇巧、能力Buff和衍生牌以正式配置为准。</x:v>
      </x:c>
    </x:row>
    <x:row r="26" ht="100" customHeight="1">
      <x:c r="A26" s="39" t="n">
        <x:v>55</x:v>
      </x:c>
      <x:c r="B26" s="39" t="str">
        <x:v>熔炉</x:v>
      </x:c>
      <x:c r="C26" s="39" t="str">
        <x:v>Furnace</x:v>
      </x:c>
      <x:c r="D26" s="39" t="str">
        <x:v>能力</x:v>
      </x:c>
      <x:c r="E26" s="39" t="str">
        <x:v>罕见</x:v>
      </x:c>
      <x:c r="F26" s="39" t="n">
        <x:v>1</x:v>
      </x:c>
      <x:c r="G26" s="39" t="n">
        <x:v>1</x:v>
      </x:c>
      <x:c r="H26" s="39" t="str">
        <x:v>在你的回合开始时，铸造5。</x:v>
      </x:c>
      <x:c r="I26" s="39" t="str">
        <x:v>在你的回合开始时，铸造7。</x:v>
      </x:c>
      <x:c r="J26" s="39" t="str">
        <x:v>无</x:v>
      </x:c>
      <x:c r="K26" s="39" t="str">
        <x:v>无</x:v>
      </x:c>
      <x:c r="L26" s="39" t="str">
        <x:v>单人 / 多人</x:v>
      </x:c>
      <x:c r="M26" s="39" t="str">
        <x:v>自身</x:v>
      </x:c>
      <x:c r="N26" s="39" t="str">
        <x:v>FURNACE</x:v>
      </x:c>
      <x:c r="O26" s="39" t="str">
        <x:v>https://spire-codex.com/zhs/cards/furnace</x:v>
      </x:c>
      <x:c r="P26" s="39" t="n">
        <x:v>0</x:v>
      </x:c>
      <x:c r="Q26" s="39" t="n">
        <x:v>0</x:v>
      </x:c>
      <x:c r="R26" s="39" t="n">
        <x:v>20190</x:v>
      </x:c>
      <x:c r="S26" s="39" t="str">
        <x:v>[30001]</x:v>
      </x:c>
      <x:c r="T26" s="39" t="str">
        <x:v>每回合开始时，铸造5。</x:v>
      </x:c>
      <x:c r="U26" s="39" t="str">
        <x:v>已实现；星星费用、奇巧、能力Buff和衍生牌以正式配置为准。</x:v>
      </x:c>
    </x:row>
    <x:row r="27" ht="100" customHeight="1">
      <x:c r="A27" s="39" t="n">
        <x:v>26</x:v>
      </x:c>
      <x:c r="B27" s="39" t="str">
        <x:v>伽马爆破</x:v>
      </x:c>
      <x:c r="C27" s="39" t="str">
        <x:v>Gamma Blast</x:v>
      </x:c>
      <x:c r="D27" s="39" t="str">
        <x:v>攻击</x:v>
      </x:c>
      <x:c r="E27" s="39" t="str">
        <x:v>罕见</x:v>
      </x:c>
      <x:c r="F27" s="39" t="n">
        <x:v>0</x:v>
      </x:c>
      <x:c r="G27" s="39" t="n">
        <x:v>0</x:v>
      </x:c>
      <x:c r="H27" s="39" t="str">
        <x:v>造成13点伤害。
给予2层虚弱。
给予2层易伤。</x:v>
      </x:c>
      <x:c r="I27" s="39" t="str">
        <x:v>造成18点伤害。
给予2层虚弱。
给予2层易伤。</x:v>
      </x:c>
      <x:c r="J27" s="39" t="str">
        <x:v>无</x:v>
      </x:c>
      <x:c r="K27" s="39" t="str">
        <x:v>无</x:v>
      </x:c>
      <x:c r="L27" s="39" t="str">
        <x:v>单人 / 多人</x:v>
      </x:c>
      <x:c r="M27" s="39" t="str">
        <x:v>单个敌人</x:v>
      </x:c>
      <x:c r="N27" s="39" t="str">
        <x:v>GAMMA_BLAST</x:v>
      </x:c>
      <x:c r="O27" s="39" t="str">
        <x:v>https://spire-codex.com/zhs/cards/gamma_blast</x:v>
      </x:c>
      <x:c r="P27" s="39" t="n">
        <x:v>3</x:v>
      </x:c>
      <x:c r="Q27" s="39" t="n">
        <x:v>3</x:v>
      </x:c>
      <x:c r="R27" s="39" t="n">
        <x:v>20214</x:v>
      </x:c>
      <x:c r="S27" s="39" t="str">
        <x:v>[]</x:v>
      </x:c>
      <x:c r="T27" s="39" t="str">
        <x:v>消耗3颗星星。造成13点伤害。给予2层虚弱和2层易伤。</x:v>
      </x:c>
      <x:c r="U27" s="39" t="str">
        <x:v>已实现；星星费用、奇巧、能力Buff和衍生牌以正式配置为准。</x:v>
      </x:c>
    </x:row>
    <x:row r="28" ht="100" customHeight="1">
      <x:c r="A28" s="39" t="n">
        <x:v>17</x:v>
      </x:c>
      <x:c r="B28" s="39" t="str">
        <x:v>收集光辉</x:v>
      </x:c>
      <x:c r="C28" s="39" t="str">
        <x:v>Gather Light</x:v>
      </x:c>
      <x:c r="D28" s="39" t="str">
        <x:v>技能</x:v>
      </x:c>
      <x:c r="E28" s="39" t="str">
        <x:v>普通</x:v>
      </x:c>
      <x:c r="F28" s="39" t="n">
        <x:v>1</x:v>
      </x:c>
      <x:c r="G28" s="39" t="n">
        <x:v>1</x:v>
      </x:c>
      <x:c r="H28" s="39" t="str">
        <x:v>获得8点格挡。
获得1颗星星。</x:v>
      </x:c>
      <x:c r="I28" s="39" t="str">
        <x:v>获得11点格挡。
获得1颗星星。</x:v>
      </x:c>
      <x:c r="J28" s="39" t="str">
        <x:v>无</x:v>
      </x:c>
      <x:c r="K28" s="39" t="str">
        <x:v>无</x:v>
      </x:c>
      <x:c r="L28" s="39" t="str">
        <x:v>单人 / 多人</x:v>
      </x:c>
      <x:c r="M28" s="39" t="str">
        <x:v>自身</x:v>
      </x:c>
      <x:c r="N28" s="39" t="str">
        <x:v>GATHER_LIGHT</x:v>
      </x:c>
      <x:c r="O28" s="39" t="str">
        <x:v>https://spire-codex.com/zhs/cards/gather_light</x:v>
      </x:c>
      <x:c r="P28" s="39" t="n">
        <x:v>0</x:v>
      </x:c>
      <x:c r="Q28" s="39" t="n">
        <x:v>0</x:v>
      </x:c>
      <x:c r="R28" s="39" t="n">
        <x:v>20209</x:v>
      </x:c>
      <x:c r="S28" s="39" t="str">
        <x:v>[30002]</x:v>
      </x:c>
      <x:c r="T28" s="39" t="str">
        <x:v>获得8点格挡。获得1颗星星。</x:v>
      </x:c>
      <x:c r="U28" s="39" t="str">
        <x:v>已实现；星星费用、奇巧、能力Buff和衍生牌以正式配置为准。</x:v>
      </x:c>
    </x:row>
    <x:row r="29" ht="100" customHeight="1">
      <x:c r="A29" s="39" t="n">
        <x:v>78</x:v>
      </x:c>
      <x:c r="B29" s="39" t="str">
        <x:v>创世纪</x:v>
      </x:c>
      <x:c r="C29" s="39" t="str">
        <x:v>Genesis</x:v>
      </x:c>
      <x:c r="D29" s="39" t="str">
        <x:v>能力</x:v>
      </x:c>
      <x:c r="E29" s="39" t="str">
        <x:v>稀有</x:v>
      </x:c>
      <x:c r="F29" s="39" t="n">
        <x:v>2</x:v>
      </x:c>
      <x:c r="G29" s="39" t="n">
        <x:v>2</x:v>
      </x:c>
      <x:c r="H29" s="39" t="str">
        <x:v>在你的回合开始时，获得2颗星星。</x:v>
      </x:c>
      <x:c r="I29" s="39" t="str">
        <x:v>在你的回合开始时，获得3颗星星。</x:v>
      </x:c>
      <x:c r="J29" s="39" t="str">
        <x:v>无</x:v>
      </x:c>
      <x:c r="K29" s="39" t="str">
        <x:v>无</x:v>
      </x:c>
      <x:c r="L29" s="39" t="str">
        <x:v>单人 / 多人</x:v>
      </x:c>
      <x:c r="M29" s="39" t="str">
        <x:v>自身</x:v>
      </x:c>
      <x:c r="N29" s="39" t="str">
        <x:v>GENESIS</x:v>
      </x:c>
      <x:c r="O29" s="39" t="str">
        <x:v>https://spire-codex.com/zhs/cards/genesis</x:v>
      </x:c>
      <x:c r="P29" s="39" t="n">
        <x:v>0</x:v>
      </x:c>
      <x:c r="Q29" s="39" t="n">
        <x:v>0</x:v>
      </x:c>
      <x:c r="R29" s="39" t="n">
        <x:v>20186</x:v>
      </x:c>
      <x:c r="S29" s="39" t="str">
        <x:v>[30001,30001]</x:v>
      </x:c>
      <x:c r="T29" s="39" t="str">
        <x:v>每回合开始时，获得2颗星星。</x:v>
      </x:c>
      <x:c r="U29" s="39" t="str">
        <x:v>已实现；星星费用、奇巧、能力Buff和衍生牌以正式配置为准。</x:v>
      </x:c>
    </x:row>
    <x:row r="30" ht="100" customHeight="1">
      <x:c r="A30" s="39" t="n">
        <x:v>41</x:v>
      </x:c>
      <x:c r="B30" s="39" t="str">
        <x:v>微光</x:v>
      </x:c>
      <x:c r="C30" s="39" t="str">
        <x:v>Glimmer</x:v>
      </x:c>
      <x:c r="D30" s="39" t="str">
        <x:v>技能</x:v>
      </x:c>
      <x:c r="E30" s="39" t="str">
        <x:v>罕见</x:v>
      </x:c>
      <x:c r="F30" s="39" t="n">
        <x:v>1</x:v>
      </x:c>
      <x:c r="G30" s="39" t="n">
        <x:v>1</x:v>
      </x:c>
      <x:c r="H30" s="39" t="str">
        <x:v>抽3张牌。
将你手牌中的1张牌放到抽牌堆顶部。</x:v>
      </x:c>
      <x:c r="I30" s="39" t="str">
        <x:v>抽4张牌。
将你手牌中的1张牌放到抽牌堆顶部。</x:v>
      </x:c>
      <x:c r="J30" s="39" t="str">
        <x:v>无</x:v>
      </x:c>
      <x:c r="K30" s="39" t="str">
        <x:v>无</x:v>
      </x:c>
      <x:c r="L30" s="39" t="str">
        <x:v>单人 / 多人</x:v>
      </x:c>
      <x:c r="M30" s="39" t="str">
        <x:v>自身</x:v>
      </x:c>
      <x:c r="N30" s="39" t="str">
        <x:v>GLIMMER</x:v>
      </x:c>
      <x:c r="O30" s="39" t="str">
        <x:v>https://spire-codex.com/zhs/cards/glimmer</x:v>
      </x:c>
      <x:c r="P30" s="39" t="n">
        <x:v>0</x:v>
      </x:c>
      <x:c r="Q30" s="39" t="n">
        <x:v>0</x:v>
      </x:c>
      <x:c r="R30" s="39" t="n">
        <x:v>20117</x:v>
      </x:c>
      <x:c r="S30" s="39" t="str">
        <x:v>[30001]</x:v>
      </x:c>
      <x:c r="T30" s="39" t="str">
        <x:v>抽3张牌。
将手牌中的1张牌放到抽牌堆顶部。</x:v>
      </x:c>
      <x:c r="U30" s="39" t="str">
        <x:v>已实现；星星费用、奇巧、能力Buff和衍生牌以正式配置为准。</x:v>
      </x:c>
    </x:row>
    <x:row r="31" ht="100" customHeight="1">
      <x:c r="A31" s="39" t="n">
        <x:v>18</x:v>
      </x:c>
      <x:c r="B31" s="39" t="str">
        <x:v>流光溢彩</x:v>
      </x:c>
      <x:c r="C31" s="39" t="str">
        <x:v>Glitterstream</x:v>
      </x:c>
      <x:c r="D31" s="39" t="str">
        <x:v>技能</x:v>
      </x:c>
      <x:c r="E31" s="39" t="str">
        <x:v>普通</x:v>
      </x:c>
      <x:c r="F31" s="39" t="n">
        <x:v>2</x:v>
      </x:c>
      <x:c r="G31" s="39" t="n">
        <x:v>2</x:v>
      </x:c>
      <x:c r="H31" s="39" t="str">
        <x:v>获得11点格挡。
在下一回合获得5点格挡。</x:v>
      </x:c>
      <x:c r="I31" s="39" t="str">
        <x:v>获得13点格挡。
在下一回合获得7点格挡。</x:v>
      </x:c>
      <x:c r="J31" s="39" t="str">
        <x:v>无</x:v>
      </x:c>
      <x:c r="K31" s="39" t="str">
        <x:v>无</x:v>
      </x:c>
      <x:c r="L31" s="39" t="str">
        <x:v>单人 / 多人</x:v>
      </x:c>
      <x:c r="M31" s="39" t="str">
        <x:v>自身</x:v>
      </x:c>
      <x:c r="N31" s="39" t="str">
        <x:v>GLITTERSTREAM</x:v>
      </x:c>
      <x:c r="O31" s="39" t="str">
        <x:v>https://spire-codex.com/zhs/cards/glitterstream</x:v>
      </x:c>
      <x:c r="P31" s="39" t="n">
        <x:v>0</x:v>
      </x:c>
      <x:c r="Q31" s="39" t="n">
        <x:v>0</x:v>
      </x:c>
      <x:c r="R31" s="39" t="n">
        <x:v>20118</x:v>
      </x:c>
      <x:c r="S31" s="39" t="str">
        <x:v>[30002,30002]</x:v>
      </x:c>
      <x:c r="T31" s="39" t="str">
        <x:v>获得11点格挡。
下回合开始时，获得5点格挡。</x:v>
      </x:c>
      <x:c r="U31" s="39" t="str">
        <x:v>已实现；星星费用、奇巧、能力Buff和衍生牌以正式配置为准。</x:v>
      </x:c>
    </x:row>
    <x:row r="32" ht="100" customHeight="1">
      <x:c r="A32" s="39" t="n">
        <x:v>19</x:v>
      </x:c>
      <x:c r="B32" s="39" t="str">
        <x:v>辉光</x:v>
      </x:c>
      <x:c r="C32" s="39" t="str">
        <x:v>Glow</x:v>
      </x:c>
      <x:c r="D32" s="39" t="str">
        <x:v>技能</x:v>
      </x:c>
      <x:c r="E32" s="39" t="str">
        <x:v>普通</x:v>
      </x:c>
      <x:c r="F32" s="39" t="n">
        <x:v>1</x:v>
      </x:c>
      <x:c r="G32" s="39" t="n">
        <x:v>1</x:v>
      </x:c>
      <x:c r="H32" s="39" t="str">
        <x:v>获得1颗星星。
抽1张牌。
下一回合抽1张牌。</x:v>
      </x:c>
      <x:c r="I32" s="39" t="str">
        <x:v>获得2颗星星。
抽1张牌。
下一回合抽1张牌。</x:v>
      </x:c>
      <x:c r="J32" s="39" t="str">
        <x:v>无</x:v>
      </x:c>
      <x:c r="K32" s="39" t="str">
        <x:v>无</x:v>
      </x:c>
      <x:c r="L32" s="39" t="str">
        <x:v>单人 / 多人</x:v>
      </x:c>
      <x:c r="M32" s="39" t="str">
        <x:v>自身</x:v>
      </x:c>
      <x:c r="N32" s="39" t="str">
        <x:v>GLOW</x:v>
      </x:c>
      <x:c r="O32" s="39" t="str">
        <x:v>https://spire-codex.com/zhs/cards/glow</x:v>
      </x:c>
      <x:c r="P32" s="39" t="n">
        <x:v>0</x:v>
      </x:c>
      <x:c r="Q32" s="39" t="n">
        <x:v>0</x:v>
      </x:c>
      <x:c r="R32" s="39" t="n">
        <x:v>20210</x:v>
      </x:c>
      <x:c r="S32" s="39" t="str">
        <x:v>[30001]</x:v>
      </x:c>
      <x:c r="T32" s="39" t="str">
        <x:v>获得1颗星星。抽1张牌。下回合补足手牌后再抽1张。</x:v>
      </x:c>
      <x:c r="U32" s="39" t="str">
        <x:v>已实现；星星费用、奇巧、能力Buff和衍生牌以正式配置为准。</x:v>
      </x:c>
    </x:row>
    <x:row r="33" ht="100" customHeight="1">
      <x:c r="A33" s="39" t="n">
        <x:v>10</x:v>
      </x:c>
      <x:c r="B33" s="39" t="str">
        <x:v>引导之星</x:v>
      </x:c>
      <x:c r="C33" s="39" t="str">
        <x:v>Guiding Star</x:v>
      </x:c>
      <x:c r="D33" s="39" t="str">
        <x:v>攻击</x:v>
      </x:c>
      <x:c r="E33" s="39" t="str">
        <x:v>普通</x:v>
      </x:c>
      <x:c r="F33" s="39" t="n">
        <x:v>1</x:v>
      </x:c>
      <x:c r="G33" s="39" t="n">
        <x:v>1</x:v>
      </x:c>
      <x:c r="H33" s="39" t="str">
        <x:v>造成12点伤害。
抽2张牌。</x:v>
      </x:c>
      <x:c r="I33" s="39" t="str">
        <x:v>造成13点伤害。
抽3张牌。</x:v>
      </x:c>
      <x:c r="J33" s="39" t="str">
        <x:v>无</x:v>
      </x:c>
      <x:c r="K33" s="39" t="str">
        <x:v>无</x:v>
      </x:c>
      <x:c r="L33" s="39" t="str">
        <x:v>单人 / 多人</x:v>
      </x:c>
      <x:c r="M33" s="39" t="str">
        <x:v>单个敌人</x:v>
      </x:c>
      <x:c r="N33" s="39" t="str">
        <x:v>GUIDING_STAR</x:v>
      </x:c>
      <x:c r="O33" s="39" t="str">
        <x:v>https://spire-codex.com/zhs/cards/guiding_star</x:v>
      </x:c>
      <x:c r="P33" s="39" t="n">
        <x:v>2</x:v>
      </x:c>
      <x:c r="Q33" s="39" t="n">
        <x:v>2</x:v>
      </x:c>
      <x:c r="R33" s="39" t="n">
        <x:v>20213</x:v>
      </x:c>
      <x:c r="S33" s="39" t="str">
        <x:v>[30003]</x:v>
      </x:c>
      <x:c r="T33" s="39" t="str">
        <x:v>消耗2颗星星。造成12点伤害。抽2张牌。</x:v>
      </x:c>
      <x:c r="U33" s="39" t="str">
        <x:v>已实现；星星费用、奇巧、能力Buff和衍生牌以正式配置为准。</x:v>
      </x:c>
    </x:row>
    <x:row r="34" ht="100" customHeight="1">
      <x:c r="A34" s="39" t="n">
        <x:v>27</x:v>
      </x:c>
      <x:c r="B34" s="39" t="str">
        <x:v>霸权</x:v>
      </x:c>
      <x:c r="C34" s="39" t="str">
        <x:v>Hegemony</x:v>
      </x:c>
      <x:c r="D34" s="39" t="str">
        <x:v>攻击</x:v>
      </x:c>
      <x:c r="E34" s="39" t="str">
        <x:v>罕见</x:v>
      </x:c>
      <x:c r="F34" s="39" t="n">
        <x:v>2</x:v>
      </x:c>
      <x:c r="G34" s="39" t="n">
        <x:v>2</x:v>
      </x:c>
      <x:c r="H34" s="39" t="str">
        <x:v>造成15点伤害。
在下个回合获得2点能量。</x:v>
      </x:c>
      <x:c r="I34" s="39" t="str">
        <x:v>造成18点伤害。
在下个回合获得3点能量。</x:v>
      </x:c>
      <x:c r="J34" s="39" t="str">
        <x:v>无</x:v>
      </x:c>
      <x:c r="K34" s="39" t="str">
        <x:v>无</x:v>
      </x:c>
      <x:c r="L34" s="39" t="str">
        <x:v>单人 / 多人</x:v>
      </x:c>
      <x:c r="M34" s="39" t="str">
        <x:v>单个敌人</x:v>
      </x:c>
      <x:c r="N34" s="39" t="str">
        <x:v>HEGEMONY</x:v>
      </x:c>
      <x:c r="O34" s="39" t="str">
        <x:v>https://spire-codex.com/zhs/cards/hegemony</x:v>
      </x:c>
      <x:c r="P34" s="39" t="n">
        <x:v>0</x:v>
      </x:c>
      <x:c r="Q34" s="39" t="n">
        <x:v>0</x:v>
      </x:c>
      <x:c r="R34" s="39" t="n">
        <x:v>20119</x:v>
      </x:c>
      <x:c r="S34" s="39" t="str">
        <x:v>[30003,30003]</x:v>
      </x:c>
      <x:c r="T34" s="39" t="str">
        <x:v>造成15点伤害。
下回合开始时，获得2点能量。</x:v>
      </x:c>
      <x:c r="U34" s="39" t="str">
        <x:v>已实现；星星费用、奇巧、能力Buff和衍生牌以正式配置为准。</x:v>
      </x:c>
    </x:row>
    <x:row r="35" ht="100" customHeight="1">
      <x:c r="A35" s="39" t="n">
        <x:v>20</x:v>
      </x:c>
      <x:c r="B35" s="39" t="str">
        <x:v>隐秘藏品</x:v>
      </x:c>
      <x:c r="C35" s="39" t="str">
        <x:v>Hidden Cache</x:v>
      </x:c>
      <x:c r="D35" s="39" t="str">
        <x:v>技能</x:v>
      </x:c>
      <x:c r="E35" s="39" t="str">
        <x:v>普通</x:v>
      </x:c>
      <x:c r="F35" s="39" t="n">
        <x:v>1</x:v>
      </x:c>
      <x:c r="G35" s="39" t="n">
        <x:v>1</x:v>
      </x:c>
      <x:c r="H35" s="39" t="str">
        <x:v>获得1颗星星。
在下个回合获得3颗星星。</x:v>
      </x:c>
      <x:c r="I35" s="39" t="str">
        <x:v>获得1颗星星。
在下个回合获得4颗星星。</x:v>
      </x:c>
      <x:c r="J35" s="39" t="str">
        <x:v>无</x:v>
      </x:c>
      <x:c r="K35" s="39" t="str">
        <x:v>无</x:v>
      </x:c>
      <x:c r="L35" s="39" t="str">
        <x:v>单人 / 多人</x:v>
      </x:c>
      <x:c r="M35" s="39" t="str">
        <x:v>自身</x:v>
      </x:c>
      <x:c r="N35" s="39" t="str">
        <x:v>HIDDEN_CACHE</x:v>
      </x:c>
      <x:c r="O35" s="39" t="str">
        <x:v>https://spire-codex.com/zhs/cards/hidden_cache</x:v>
      </x:c>
      <x:c r="P35" s="39" t="n">
        <x:v>0</x:v>
      </x:c>
      <x:c r="Q35" s="39" t="n">
        <x:v>0</x:v>
      </x:c>
      <x:c r="R35" s="39" t="n">
        <x:v>20211</x:v>
      </x:c>
      <x:c r="S35" s="39" t="str">
        <x:v>[30001]</x:v>
      </x:c>
      <x:c r="T35" s="39" t="str">
        <x:v>获得1颗星星。下回合开始时，获得3颗星星。</x:v>
      </x:c>
      <x:c r="U35" s="39" t="str">
        <x:v>已实现；星星费用、奇巧、能力Buff和衍生牌以正式配置为准。</x:v>
      </x:c>
    </x:row>
    <x:row r="36" ht="100" customHeight="1">
      <x:c r="A36" s="39" t="n">
        <x:v>29</x:v>
      </x:c>
      <x:c r="B36" s="39" t="str">
        <x:v>王者之拳</x:v>
      </x:c>
      <x:c r="C36" s="39" t="str">
        <x:v>Kingly Punch</x:v>
      </x:c>
      <x:c r="D36" s="39" t="str">
        <x:v>攻击</x:v>
      </x:c>
      <x:c r="E36" s="39" t="str">
        <x:v>罕见</x:v>
      </x:c>
      <x:c r="F36" s="39" t="n">
        <x:v>1</x:v>
      </x:c>
      <x:c r="G36" s="39" t="n">
        <x:v>1</x:v>
      </x:c>
      <x:c r="H36" s="39" t="str">
        <x:v>造成8点伤害。
每当你抽到这张牌时，在这场战斗中其伤害增加4。</x:v>
      </x:c>
      <x:c r="I36" s="39" t="str">
        <x:v>造成10点伤害。
每当你抽到这张牌时，在这场战斗中其伤害增加6。</x:v>
      </x:c>
      <x:c r="J36" s="39" t="str">
        <x:v>无</x:v>
      </x:c>
      <x:c r="K36" s="39" t="str">
        <x:v>无</x:v>
      </x:c>
      <x:c r="L36" s="39" t="str">
        <x:v>单人 / 多人</x:v>
      </x:c>
      <x:c r="M36" s="39" t="str">
        <x:v>单个敌人</x:v>
      </x:c>
      <x:c r="N36" s="39" t="str">
        <x:v>KINGLY_PUNCH</x:v>
      </x:c>
      <x:c r="O36" s="39" t="str">
        <x:v>https://spire-codex.com/zhs/cards/kingly_punch</x:v>
      </x:c>
      <x:c r="P36" s="39" t="n">
        <x:v>0</x:v>
      </x:c>
      <x:c r="Q36" s="39" t="n">
        <x:v>0</x:v>
      </x:c>
      <x:c r="R36" s="39" t="n">
        <x:v>20120</x:v>
      </x:c>
      <x:c r="S36" s="39" t="str">
        <x:v>[30003]</x:v>
      </x:c>
      <x:c r="T36" s="39" t="str">
        <x:v>造成8点伤害。
每当抽到这张牌时，本张牌在本场战斗中的伤害增加4。</x:v>
      </x:c>
      <x:c r="U36" s="39" t="str">
        <x:v>已实现；星星费用、奇巧、能力Buff和衍生牌以正式配置为准。</x:v>
      </x:c>
    </x:row>
    <x:row r="37" ht="100" customHeight="1">
      <x:c r="A37" s="39" t="n">
        <x:v>31</x:v>
      </x:c>
      <x:c r="B37" s="39" t="str">
        <x:v>月面射击</x:v>
      </x:c>
      <x:c r="C37" s="39" t="str">
        <x:v>Lunar Blast</x:v>
      </x:c>
      <x:c r="D37" s="39" t="str">
        <x:v>攻击</x:v>
      </x:c>
      <x:c r="E37" s="39" t="str">
        <x:v>罕见</x:v>
      </x:c>
      <x:c r="F37" s="39" t="n">
        <x:v>0</x:v>
      </x:c>
      <x:c r="G37" s="39" t="n">
        <x:v>0</x:v>
      </x:c>
      <x:c r="H37" s="39" t="str">
        <x:v>本回合中每打出过一张技能牌，此牌额外造成4点伤害一次。</x:v>
      </x:c>
      <x:c r="I37" s="39" t="str">
        <x:v>本回合中每打出过一张技能牌，此牌额外造成5点伤害一次。</x:v>
      </x:c>
      <x:c r="J37" s="39" t="str">
        <x:v>无</x:v>
      </x:c>
      <x:c r="K37" s="39" t="str">
        <x:v>无</x:v>
      </x:c>
      <x:c r="L37" s="39" t="str">
        <x:v>单人 / 多人</x:v>
      </x:c>
      <x:c r="M37" s="39" t="str">
        <x:v>单个敌人</x:v>
      </x:c>
      <x:c r="N37" s="39" t="str">
        <x:v>LUNAR_BLAST</x:v>
      </x:c>
      <x:c r="O37" s="39" t="str">
        <x:v>https://spire-codex.com/zhs/cards/lunar_blast</x:v>
      </x:c>
      <x:c r="P37" s="39" t="n">
        <x:v>0</x:v>
      </x:c>
      <x:c r="Q37" s="39" t="n">
        <x:v>0</x:v>
      </x:c>
      <x:c r="R37" s="39" t="n">
        <x:v>20237</x:v>
      </x:c>
      <x:c r="S37" s="39" t="str">
        <x:v>[]</x:v>
      </x:c>
      <x:c r="T37" s="39" t="str">
        <x:v>本回合此前每打出一张技能牌，对敌人造成4点伤害1次。</x:v>
      </x:c>
      <x:c r="U37" s="39" t="str">
        <x:v>已实现；星星费用、奇巧、能力Buff和衍生牌以正式配置为准。</x:v>
      </x:c>
    </x:row>
    <x:row r="38" ht="100" customHeight="1">
      <x:c r="A38" s="39" t="n">
        <x:v>43</x:v>
      </x:c>
      <x:c r="B38" s="39" t="str">
        <x:v>君权自授</x:v>
      </x:c>
      <x:c r="C38" s="39" t="str">
        <x:v>Manifest Authority</x:v>
      </x:c>
      <x:c r="D38" s="39" t="str">
        <x:v>技能</x:v>
      </x:c>
      <x:c r="E38" s="39" t="str">
        <x:v>罕见</x:v>
      </x:c>
      <x:c r="F38" s="39" t="n">
        <x:v>1</x:v>
      </x:c>
      <x:c r="G38" s="39" t="n">
        <x:v>1</x:v>
      </x:c>
      <x:c r="H38" s="39" t="str">
        <x:v>获得7点格挡。
将一张随机无色牌加入你的手牌。</x:v>
      </x:c>
      <x:c r="I38" s="39" t="str">
        <x:v>获得8点格挡。
将一张随机升级过的无色牌加入你的手牌。</x:v>
      </x:c>
      <x:c r="J38" s="39" t="str">
        <x:v>无</x:v>
      </x:c>
      <x:c r="K38" s="39" t="str">
        <x:v>无</x:v>
      </x:c>
      <x:c r="L38" s="39" t="str">
        <x:v>单人 / 多人</x:v>
      </x:c>
      <x:c r="M38" s="39" t="str">
        <x:v>自身</x:v>
      </x:c>
      <x:c r="N38" s="39" t="str">
        <x:v>MANIFEST_AUTHORITY</x:v>
      </x:c>
      <x:c r="O38" s="39" t="str">
        <x:v>https://spire-codex.com/zhs/cards/manifest_authority</x:v>
      </x:c>
      <x:c r="P38" s="39" t="n">
        <x:v>0</x:v>
      </x:c>
      <x:c r="Q38" s="39" t="n">
        <x:v>0</x:v>
      </x:c>
      <x:c r="R38" s="39" t="n">
        <x:v>20230</x:v>
      </x:c>
      <x:c r="S38" s="39" t="str">
        <x:v>[30002]</x:v>
      </x:c>
      <x:c r="T38" s="39" t="str">
        <x:v>获得7点格挡。随机生成1张当前角色普通奖励牌。</x:v>
      </x:c>
      <x:c r="U38" s="39" t="str">
        <x:v>已实现；星星费用、奇巧、能力Buff和衍生牌以正式配置为准。</x:v>
      </x:c>
    </x:row>
    <x:row r="39" ht="100" customHeight="1">
      <x:c r="A39" s="39" t="n">
        <x:v>80</x:v>
      </x:c>
      <x:c r="B39" s="39" t="str">
        <x:v>王之凝视</x:v>
      </x:c>
      <x:c r="C39" s="39" t="str">
        <x:v>Monarch's Gaze</x:v>
      </x:c>
      <x:c r="D39" s="39" t="str">
        <x:v>能力</x:v>
      </x:c>
      <x:c r="E39" s="39" t="str">
        <x:v>稀有</x:v>
      </x:c>
      <x:c r="F39" s="39" t="n">
        <x:v>2</x:v>
      </x:c>
      <x:c r="G39" s="39" t="n">
        <x:v>1</x:v>
      </x:c>
      <x:c r="H39" s="39" t="str">
        <x:v>每当你攻击敌人的时候，这名敌人在本回合失去1点力量。</x:v>
      </x:c>
      <x:c r="I39" s="39" t="str">
        <x:v>每当你攻击敌人的时候，这名敌人在本回合失去1点力量。</x:v>
      </x:c>
      <x:c r="J39" s="39" t="str">
        <x:v>无</x:v>
      </x:c>
      <x:c r="K39" s="39" t="str">
        <x:v>无</x:v>
      </x:c>
      <x:c r="L39" s="39" t="str">
        <x:v>单人 / 多人</x:v>
      </x:c>
      <x:c r="M39" s="39" t="str">
        <x:v>自身</x:v>
      </x:c>
      <x:c r="N39" s="39" t="str">
        <x:v>MONARCHS_GAZE</x:v>
      </x:c>
      <x:c r="O39" s="39" t="str">
        <x:v>https://spire-codex.com/zhs/cards/monarchs_gaze</x:v>
      </x:c>
      <x:c r="P39" s="39" t="n">
        <x:v>0</x:v>
      </x:c>
      <x:c r="Q39" s="39" t="n">
        <x:v>0</x:v>
      </x:c>
      <x:c r="R39" s="39" t="n">
        <x:v>20121</x:v>
      </x:c>
      <x:c r="S39" s="39" t="str">
        <x:v>[30002,30002]</x:v>
      </x:c>
      <x:c r="T39" s="39" t="str">
        <x:v>本场战斗每打出一张攻击牌，敌人失去1点力量，直到敌人的本次行动结束后恢复。</x:v>
      </x:c>
      <x:c r="U39" s="39" t="str">
        <x:v>已实现；星星费用、奇巧、能力Buff和衍生牌以正式配置为准。</x:v>
      </x:c>
    </x:row>
    <x:row r="40" ht="100" customHeight="1">
      <x:c r="A40" s="39" t="n">
        <x:v>81</x:v>
      </x:c>
      <x:c r="B40" s="39" t="str">
        <x:v>中子护盾</x:v>
      </x:c>
      <x:c r="C40" s="39" t="str">
        <x:v>Neutron Aegis</x:v>
      </x:c>
      <x:c r="D40" s="39" t="str">
        <x:v>能力</x:v>
      </x:c>
      <x:c r="E40" s="39" t="str">
        <x:v>稀有</x:v>
      </x:c>
      <x:c r="F40" s="39" t="n">
        <x:v>1</x:v>
      </x:c>
      <x:c r="G40" s="39" t="n">
        <x:v>1</x:v>
      </x:c>
      <x:c r="H40" s="39" t="str">
        <x:v>获得8层覆甲。</x:v>
      </x:c>
      <x:c r="I40" s="39" t="str">
        <x:v>获得11层覆甲。</x:v>
      </x:c>
      <x:c r="J40" s="39" t="str">
        <x:v>无</x:v>
      </x:c>
      <x:c r="K40" s="39" t="str">
        <x:v>无</x:v>
      </x:c>
      <x:c r="L40" s="39" t="str">
        <x:v>单人 / 多人</x:v>
      </x:c>
      <x:c r="M40" s="39" t="str">
        <x:v>自身</x:v>
      </x:c>
      <x:c r="N40" s="39" t="str">
        <x:v>NEUTRON_AEGIS</x:v>
      </x:c>
      <x:c r="O40" s="39" t="str">
        <x:v>https://spire-codex.com/zhs/cards/neutron_aegis</x:v>
      </x:c>
      <x:c r="P40" s="39" t="n">
        <x:v>5</x:v>
      </x:c>
      <x:c r="Q40" s="39" t="n">
        <x:v>5</x:v>
      </x:c>
      <x:c r="R40" s="39" t="n">
        <x:v>20180</x:v>
      </x:c>
      <x:c r="S40" s="39" t="str">
        <x:v>[30002]</x:v>
      </x:c>
      <x:c r="T40" s="39" t="str">
        <x:v>消耗5颗星星。获得8层多层护甲。</x:v>
      </x:c>
      <x:c r="U40" s="39" t="str">
        <x:v>已实现；星星费用、奇巧、能力Buff和衍生牌以正式配置为准。</x:v>
      </x:c>
    </x:row>
    <x:row r="41" ht="100" customHeight="1">
      <x:c r="A41" s="39" t="n">
        <x:v>56</x:v>
      </x:c>
      <x:c r="B41" s="39" t="str">
        <x:v>环绕轨道</x:v>
      </x:c>
      <x:c r="C41" s="39" t="str">
        <x:v>Orbit</x:v>
      </x:c>
      <x:c r="D41" s="39" t="str">
        <x:v>能力</x:v>
      </x:c>
      <x:c r="E41" s="39" t="str">
        <x:v>罕见</x:v>
      </x:c>
      <x:c r="F41" s="39" t="n">
        <x:v>2</x:v>
      </x:c>
      <x:c r="G41" s="39" t="n">
        <x:v>1</x:v>
      </x:c>
      <x:c r="H41" s="39" t="str">
        <x:v>你每花费4点能量，
就获得1点能量。</x:v>
      </x:c>
      <x:c r="I41" s="39" t="str">
        <x:v>你每花费4点能量，
就获得1点能量。</x:v>
      </x:c>
      <x:c r="J41" s="39" t="str">
        <x:v>无</x:v>
      </x:c>
      <x:c r="K41" s="39" t="str">
        <x:v>无</x:v>
      </x:c>
      <x:c r="L41" s="39" t="str">
        <x:v>单人 / 多人</x:v>
      </x:c>
      <x:c r="M41" s="39" t="str">
        <x:v>自身</x:v>
      </x:c>
      <x:c r="N41" s="39" t="str">
        <x:v>ORBIT</x:v>
      </x:c>
      <x:c r="O41" s="39" t="str">
        <x:v>https://spire-codex.com/zhs/cards/orbit</x:v>
      </x:c>
      <x:c r="P41" s="39" t="n">
        <x:v>0</x:v>
      </x:c>
      <x:c r="Q41" s="39" t="n">
        <x:v>0</x:v>
      </x:c>
      <x:c r="R41" s="39" t="n">
        <x:v>20182</x:v>
      </x:c>
      <x:c r="S41" s="39" t="str">
        <x:v>[30001,30001]</x:v>
      </x:c>
      <x:c r="T41" s="39" t="str">
        <x:v>累计每花费4点能量，恢复1点能量；余数保留。每份能力独立计数。</x:v>
      </x:c>
      <x:c r="U41" s="39" t="str">
        <x:v>已实现；星星费用、奇巧、能力Buff和衍生牌以正式配置为准。</x:v>
      </x:c>
    </x:row>
    <x:row r="42" ht="100" customHeight="1">
      <x:c r="A42" s="39" t="n">
        <x:v>57</x:v>
      </x:c>
      <x:c r="B42" s="39" t="str">
        <x:v>暗淡蓝点</x:v>
      </x:c>
      <x:c r="C42" s="39" t="str">
        <x:v>Pale Blue Dot</x:v>
      </x:c>
      <x:c r="D42" s="39" t="str">
        <x:v>能力</x:v>
      </x:c>
      <x:c r="E42" s="39" t="str">
        <x:v>罕见</x:v>
      </x:c>
      <x:c r="F42" s="39" t="n">
        <x:v>1</x:v>
      </x:c>
      <x:c r="G42" s="39" t="n">
        <x:v>1</x:v>
      </x:c>
      <x:c r="H42" s="39" t="str">
        <x:v>如果你在一回合内打出了大于等于5张牌，在下个回合开始时抽1张牌。</x:v>
      </x:c>
      <x:c r="I42" s="39" t="str">
        <x:v>如果你在一回合内打出了大于等于5张牌，在下个回合开始时抽2张牌。</x:v>
      </x:c>
      <x:c r="J42" s="39" t="str">
        <x:v>无</x:v>
      </x:c>
      <x:c r="K42" s="39" t="str">
        <x:v>无</x:v>
      </x:c>
      <x:c r="L42" s="39" t="str">
        <x:v>单人 / 多人</x:v>
      </x:c>
      <x:c r="M42" s="39" t="str">
        <x:v>自身</x:v>
      </x:c>
      <x:c r="N42" s="39" t="str">
        <x:v>PALE_BLUE_DOT</x:v>
      </x:c>
      <x:c r="O42" s="39" t="str">
        <x:v>https://spire-codex.com/zhs/cards/pale_blue_dot</x:v>
      </x:c>
      <x:c r="P42" s="39" t="n">
        <x:v>0</x:v>
      </x:c>
      <x:c r="Q42" s="39" t="n">
        <x:v>0</x:v>
      </x:c>
      <x:c r="R42" s="39" t="n">
        <x:v>20181</x:v>
      </x:c>
      <x:c r="S42" s="39" t="str">
        <x:v>[30001]</x:v>
      </x:c>
      <x:c r="T42" s="39" t="str">
        <x:v>若上一回合打出至少5张牌，本回合补足基础手牌后额外抽1张牌。</x:v>
      </x:c>
      <x:c r="U42" s="39" t="str">
        <x:v>已实现；星星费用、奇巧、能力Buff和衍生牌以正式配置为准。</x:v>
      </x:c>
    </x:row>
    <x:row r="43" ht="100" customHeight="1">
      <x:c r="A43" s="39" t="n">
        <x:v>58</x:v>
      </x:c>
      <x:c r="B43" s="39" t="str">
        <x:v>招架</x:v>
      </x:c>
      <x:c r="C43" s="39" t="str">
        <x:v>Parry</x:v>
      </x:c>
      <x:c r="D43" s="39" t="str">
        <x:v>能力</x:v>
      </x:c>
      <x:c r="E43" s="39" t="str">
        <x:v>罕见</x:v>
      </x:c>
      <x:c r="F43" s="39" t="n">
        <x:v>1</x:v>
      </x:c>
      <x:c r="G43" s="39" t="n">
        <x:v>1</x:v>
      </x:c>
      <x:c r="H43" s="39" t="str">
        <x:v>君王之剑现在能让你获得10点格挡。</x:v>
      </x:c>
      <x:c r="I43" s="39" t="str">
        <x:v>君王之剑现在能让你获得14点格挡。</x:v>
      </x:c>
      <x:c r="J43" s="39" t="str">
        <x:v>无</x:v>
      </x:c>
      <x:c r="K43" s="39" t="str">
        <x:v>无</x:v>
      </x:c>
      <x:c r="L43" s="39" t="str">
        <x:v>单人 / 多人</x:v>
      </x:c>
      <x:c r="M43" s="39" t="str">
        <x:v>自身</x:v>
      </x:c>
      <x:c r="N43" s="39" t="str">
        <x:v>PARRY</x:v>
      </x:c>
      <x:c r="O43" s="39" t="str">
        <x:v>https://spire-codex.com/zhs/cards/parry</x:v>
      </x:c>
      <x:c r="P43" s="39" t="n">
        <x:v>0</x:v>
      </x:c>
      <x:c r="Q43" s="39" t="n">
        <x:v>0</x:v>
      </x:c>
      <x:c r="R43" s="39" t="n">
        <x:v>20192</x:v>
      </x:c>
      <x:c r="S43" s="39" t="str">
        <x:v>[30002]</x:v>
      </x:c>
      <x:c r="T43" s="39" t="str">
        <x:v>君王之剑每次结算时，获得10点格挡。</x:v>
      </x:c>
      <x:c r="U43" s="39" t="str">
        <x:v>已实现；星星费用、奇巧、能力Buff和衍生牌以正式配置为准。</x:v>
      </x:c>
    </x:row>
    <x:row r="44" ht="100" customHeight="1">
      <x:c r="A44" s="39" t="n">
        <x:v>22</x:v>
      </x:c>
      <x:c r="B44" s="39" t="str">
        <x:v>星星点点</x:v>
      </x:c>
      <x:c r="C44" s="39" t="str">
        <x:v>Patter</x:v>
      </x:c>
      <x:c r="D44" s="39" t="str">
        <x:v>技能</x:v>
      </x:c>
      <x:c r="E44" s="39" t="str">
        <x:v>普通</x:v>
      </x:c>
      <x:c r="F44" s="39" t="n">
        <x:v>1</x:v>
      </x:c>
      <x:c r="G44" s="39" t="n">
        <x:v>1</x:v>
      </x:c>
      <x:c r="H44" s="39" t="str">
        <x:v>获得8点格挡。
获得2点活力。</x:v>
      </x:c>
      <x:c r="I44" s="39" t="str">
        <x:v>获得10点格挡。
获得3点活力。</x:v>
      </x:c>
      <x:c r="J44" s="39" t="str">
        <x:v>无</x:v>
      </x:c>
      <x:c r="K44" s="39" t="str">
        <x:v>无</x:v>
      </x:c>
      <x:c r="L44" s="39" t="str">
        <x:v>单人 / 多人</x:v>
      </x:c>
      <x:c r="M44" s="39" t="str">
        <x:v>自身</x:v>
      </x:c>
      <x:c r="N44" s="39" t="str">
        <x:v>PATTER</x:v>
      </x:c>
      <x:c r="O44" s="39" t="str">
        <x:v>https://spire-codex.com/zhs/cards/patter</x:v>
      </x:c>
      <x:c r="P44" s="39" t="n">
        <x:v>0</x:v>
      </x:c>
      <x:c r="Q44" s="39" t="n">
        <x:v>0</x:v>
      </x:c>
      <x:c r="R44" s="39" t="n">
        <x:v>20123</x:v>
      </x:c>
      <x:c r="S44" s="39" t="str">
        <x:v>[30002]</x:v>
      </x:c>
      <x:c r="T44" s="39" t="str">
        <x:v>获得8点格挡。
你的下一张攻击牌额外造成2点伤害。</x:v>
      </x:c>
      <x:c r="U44" s="39" t="str">
        <x:v>已实现；星星费用、奇巧、能力Buff和衍生牌以正式配置为准。</x:v>
      </x:c>
    </x:row>
    <x:row r="45" ht="100" customHeight="1">
      <x:c r="A45" s="39" t="n">
        <x:v>11</x:v>
      </x:c>
      <x:c r="B45" s="39" t="str">
        <x:v>光子切割</x:v>
      </x:c>
      <x:c r="C45" s="39" t="str">
        <x:v>Photon Cut</x:v>
      </x:c>
      <x:c r="D45" s="39" t="str">
        <x:v>攻击</x:v>
      </x:c>
      <x:c r="E45" s="39" t="str">
        <x:v>普通</x:v>
      </x:c>
      <x:c r="F45" s="39" t="n">
        <x:v>1</x:v>
      </x:c>
      <x:c r="G45" s="39" t="n">
        <x:v>1</x:v>
      </x:c>
      <x:c r="H45" s="39" t="str">
        <x:v>造成10点伤害。
抽1张牌。
将手牌中的一张牌放到抽牌堆顶部。</x:v>
      </x:c>
      <x:c r="I45" s="39" t="str">
        <x:v>造成13点伤害。
抽2张牌。
将手牌中的一张牌放到抽牌堆顶部。</x:v>
      </x:c>
      <x:c r="J45" s="39" t="str">
        <x:v>无</x:v>
      </x:c>
      <x:c r="K45" s="39" t="str">
        <x:v>无</x:v>
      </x:c>
      <x:c r="L45" s="39" t="str">
        <x:v>单人 / 多人</x:v>
      </x:c>
      <x:c r="M45" s="39" t="str">
        <x:v>单个敌人</x:v>
      </x:c>
      <x:c r="N45" s="39" t="str">
        <x:v>PHOTON_CUT</x:v>
      </x:c>
      <x:c r="O45" s="39" t="str">
        <x:v>https://spire-codex.com/zhs/cards/photon_cut</x:v>
      </x:c>
      <x:c r="P45" s="39" t="n">
        <x:v>0</x:v>
      </x:c>
      <x:c r="Q45" s="39" t="n">
        <x:v>0</x:v>
      </x:c>
      <x:c r="R45" s="39" t="n">
        <x:v>20124</x:v>
      </x:c>
      <x:c r="S45" s="39" t="str">
        <x:v>[30001]</x:v>
      </x:c>
      <x:c r="T45" s="39" t="str">
        <x:v>造成6点伤害。
抽1张牌。
将手牌中的1张牌放到抽牌堆顶部。</x:v>
      </x:c>
      <x:c r="U45" s="39" t="str">
        <x:v>已实现；星星费用、奇巧、能力Buff和衍生牌以正式配置为准。</x:v>
      </x:c>
    </x:row>
    <x:row r="46" ht="100" customHeight="1">
      <x:c r="A46" s="39" t="n">
        <x:v>59</x:v>
      </x:c>
      <x:c r="B46" s="39" t="str">
        <x:v>创世之柱</x:v>
      </x:c>
      <x:c r="C46" s="39" t="str">
        <x:v>Pillar of Creation</x:v>
      </x:c>
      <x:c r="D46" s="39" t="str">
        <x:v>能力</x:v>
      </x:c>
      <x:c r="E46" s="39" t="str">
        <x:v>罕见</x:v>
      </x:c>
      <x:c r="F46" s="39" t="n">
        <x:v>1</x:v>
      </x:c>
      <x:c r="G46" s="39" t="n">
        <x:v>1</x:v>
      </x:c>
      <x:c r="H46" s="39" t="str">
        <x:v>每当你生成一张卡牌, 就获得3点格挡。</x:v>
      </x:c>
      <x:c r="I46" s="39" t="str">
        <x:v>每当你生成一张卡牌, 就获得4点格挡。</x:v>
      </x:c>
      <x:c r="J46" s="39" t="str">
        <x:v>无</x:v>
      </x:c>
      <x:c r="K46" s="39" t="str">
        <x:v>无</x:v>
      </x:c>
      <x:c r="L46" s="39" t="str">
        <x:v>单人 / 多人</x:v>
      </x:c>
      <x:c r="M46" s="39" t="str">
        <x:v>自身</x:v>
      </x:c>
      <x:c r="N46" s="39" t="str">
        <x:v>PILLAR_OF_CREATION</x:v>
      </x:c>
      <x:c r="O46" s="39" t="str">
        <x:v>https://spire-codex.com/zhs/cards/pillar_of_creation</x:v>
      </x:c>
      <x:c r="P46" s="39" t="n">
        <x:v>0</x:v>
      </x:c>
      <x:c r="Q46" s="39" t="n">
        <x:v>0</x:v>
      </x:c>
      <x:c r="R46" s="39" t="n">
        <x:v>20184</x:v>
      </x:c>
      <x:c r="S46" s="39" t="str">
        <x:v>[30002]</x:v>
      </x:c>
      <x:c r="T46" s="39" t="str">
        <x:v>每当你在战斗中生成一张牌，获得3点格挡。</x:v>
      </x:c>
      <x:c r="U46" s="39" t="str">
        <x:v>已实现；星星费用、奇巧、能力Buff和衍生牌以正式配置为准。</x:v>
      </x:c>
    </x:row>
    <x:row r="47" ht="100" customHeight="1">
      <x:c r="A47" s="39" t="n">
        <x:v>46</x:v>
      </x:c>
      <x:c r="B47" s="39" t="str">
        <x:v>预言</x:v>
      </x:c>
      <x:c r="C47" s="39" t="str">
        <x:v>Prophesize</x:v>
      </x:c>
      <x:c r="D47" s="39" t="str">
        <x:v>技能</x:v>
      </x:c>
      <x:c r="E47" s="39" t="str">
        <x:v>罕见</x:v>
      </x:c>
      <x:c r="F47" s="39" t="n">
        <x:v>2</x:v>
      </x:c>
      <x:c r="G47" s="39" t="n">
        <x:v>2</x:v>
      </x:c>
      <x:c r="H47" s="39" t="str">
        <x:v>抽6张牌。</x:v>
      </x:c>
      <x:c r="I47" s="39" t="str">
        <x:v>抽9张牌。</x:v>
      </x:c>
      <x:c r="J47" s="39" t="str">
        <x:v>无</x:v>
      </x:c>
      <x:c r="K47" s="39" t="str">
        <x:v>无</x:v>
      </x:c>
      <x:c r="L47" s="39" t="str">
        <x:v>单人 / 多人</x:v>
      </x:c>
      <x:c r="M47" s="39" t="str">
        <x:v>自身</x:v>
      </x:c>
      <x:c r="N47" s="39" t="str">
        <x:v>PROPHESIZE</x:v>
      </x:c>
      <x:c r="O47" s="39" t="str">
        <x:v>https://spire-codex.com/zhs/cards/prophesize</x:v>
      </x:c>
      <x:c r="P47" s="39" t="n">
        <x:v>0</x:v>
      </x:c>
      <x:c r="Q47" s="39" t="n">
        <x:v>0</x:v>
      </x:c>
      <x:c r="R47" s="39" t="n">
        <x:v>20125</x:v>
      </x:c>
      <x:c r="S47" s="39" t="str">
        <x:v>[30001,30001]</x:v>
      </x:c>
      <x:c r="T47" s="39" t="str">
        <x:v>抽6张牌。
受10张手牌上限限制。</x:v>
      </x:c>
      <x:c r="U47" s="39" t="str">
        <x:v>已实现；星星费用、奇巧、能力Buff和衍生牌以正式配置为准。</x:v>
      </x:c>
    </x:row>
    <x:row r="48" ht="100" customHeight="1">
      <x:c r="A48" s="39" t="n">
        <x:v>32</x:v>
      </x:c>
      <x:c r="B48" s="39" t="str">
        <x:v>辐射</x:v>
      </x:c>
      <x:c r="C48" s="39" t="str">
        <x:v>Radiate</x:v>
      </x:c>
      <x:c r="D48" s="39" t="str">
        <x:v>攻击</x:v>
      </x:c>
      <x:c r="E48" s="39" t="str">
        <x:v>罕见</x:v>
      </x:c>
      <x:c r="F48" s="39" t="n">
        <x:v>0</x:v>
      </x:c>
      <x:c r="G48" s="39" t="n">
        <x:v>0</x:v>
      </x:c>
      <x:c r="H48" s="39" t="str">
        <x:v>你在本回合每获得1颗星星，此牌就对所有敌人造成3点伤害一次。</x:v>
      </x:c>
      <x:c r="I48" s="39" t="str">
        <x:v>你在本回合每获得1颗星星，此牌就对所有敌人造成4点伤害一次。</x:v>
      </x:c>
      <x:c r="J48" s="39" t="str">
        <x:v>无</x:v>
      </x:c>
      <x:c r="K48" s="39" t="str">
        <x:v>无</x:v>
      </x:c>
      <x:c r="L48" s="39" t="str">
        <x:v>单人 / 多人</x:v>
      </x:c>
      <x:c r="M48" s="39" t="str">
        <x:v>所有敌人</x:v>
      </x:c>
      <x:c r="N48" s="39" t="str">
        <x:v>RADIATE</x:v>
      </x:c>
      <x:c r="O48" s="39" t="str">
        <x:v>https://spire-codex.com/zhs/cards/radiate</x:v>
      </x:c>
      <x:c r="P48" s="39" t="n">
        <x:v>0</x:v>
      </x:c>
      <x:c r="Q48" s="39" t="n">
        <x:v>0</x:v>
      </x:c>
      <x:c r="R48" s="39" t="n">
        <x:v>20239</x:v>
      </x:c>
      <x:c r="S48" s="39" t="str">
        <x:v>[]</x:v>
      </x:c>
      <x:c r="T48" s="39" t="str">
        <x:v>本回合每花费过1颗星星，造成3点伤害1次。</x:v>
      </x:c>
      <x:c r="U48" s="39" t="str">
        <x:v>已实现；星星费用、奇巧、能力Buff和衍生牌以正式配置为准。</x:v>
      </x:c>
    </x:row>
    <x:row r="49" ht="100" customHeight="1">
      <x:c r="A49" s="39" t="n">
        <x:v>23</x:v>
      </x:c>
      <x:c r="B49" s="39" t="str">
        <x:v>淬炼刀刃</x:v>
      </x:c>
      <x:c r="C49" s="39" t="str">
        <x:v>Refine Blade</x:v>
      </x:c>
      <x:c r="D49" s="39" t="str">
        <x:v>技能</x:v>
      </x:c>
      <x:c r="E49" s="39" t="str">
        <x:v>普通</x:v>
      </x:c>
      <x:c r="F49" s="39" t="n">
        <x:v>1</x:v>
      </x:c>
      <x:c r="G49" s="39" t="n">
        <x:v>1</x:v>
      </x:c>
      <x:c r="H49" s="39" t="str">
        <x:v>铸造9。
在下个回合获得1点能量。</x:v>
      </x:c>
      <x:c r="I49" s="39" t="str">
        <x:v>铸造13。
在下个回合获得1点能量。</x:v>
      </x:c>
      <x:c r="J49" s="39" t="str">
        <x:v>无</x:v>
      </x:c>
      <x:c r="K49" s="39" t="str">
        <x:v>无</x:v>
      </x:c>
      <x:c r="L49" s="39" t="str">
        <x:v>单人 / 多人</x:v>
      </x:c>
      <x:c r="M49" s="39" t="str">
        <x:v>自身</x:v>
      </x:c>
      <x:c r="N49" s="39" t="str">
        <x:v>REFINE_BLADE</x:v>
      </x:c>
      <x:c r="O49" s="39" t="str">
        <x:v>https://spire-codex.com/zhs/cards/refine_blade</x:v>
      </x:c>
      <x:c r="P49" s="39" t="n">
        <x:v>0</x:v>
      </x:c>
      <x:c r="Q49" s="39" t="n">
        <x:v>0</x:v>
      </x:c>
      <x:c r="R49" s="39" t="n">
        <x:v>20225</x:v>
      </x:c>
      <x:c r="S49" s="39" t="str">
        <x:v>[30001]</x:v>
      </x:c>
      <x:c r="T49" s="39" t="str">
        <x:v>铸造9。下回合开始时，获得1点能量。</x:v>
      </x:c>
      <x:c r="U49" s="39" t="str">
        <x:v>已实现；星星费用、奇巧、能力Buff和衍生牌以正式配置为准。</x:v>
      </x:c>
    </x:row>
    <x:row r="50" ht="100" customHeight="1">
      <x:c r="A50" s="39" t="n">
        <x:v>82</x:v>
      </x:c>
      <x:c r="B50" s="39" t="str">
        <x:v>王国资产</x:v>
      </x:c>
      <x:c r="C50" s="39" t="str">
        <x:v>Royalties</x:v>
      </x:c>
      <x:c r="D50" s="39" t="str">
        <x:v>能力</x:v>
      </x:c>
      <x:c r="E50" s="39" t="str">
        <x:v>稀有</x:v>
      </x:c>
      <x:c r="F50" s="39" t="n">
        <x:v>1</x:v>
      </x:c>
      <x:c r="G50" s="39" t="n">
        <x:v>1</x:v>
      </x:c>
      <x:c r="H50" s="39" t="str">
        <x:v>在战斗结束时，获得30金币。</x:v>
      </x:c>
      <x:c r="I50" s="39" t="str">
        <x:v>在战斗结束时，获得40金币。</x:v>
      </x:c>
      <x:c r="J50" s="39" t="str">
        <x:v>无</x:v>
      </x:c>
      <x:c r="K50" s="39" t="str">
        <x:v>无</x:v>
      </x:c>
      <x:c r="L50" s="39" t="str">
        <x:v>单人 / 多人</x:v>
      </x:c>
      <x:c r="M50" s="39" t="str">
        <x:v>自身</x:v>
      </x:c>
      <x:c r="N50" s="39" t="str">
        <x:v>ROYALTIES</x:v>
      </x:c>
      <x:c r="O50" s="39" t="str">
        <x:v>https://spire-codex.com/zhs/cards/royalties</x:v>
      </x:c>
      <x:c r="P50" s="39" t="n">
        <x:v>0</x:v>
      </x:c>
      <x:c r="Q50" s="39" t="n">
        <x:v>0</x:v>
      </x:c>
      <x:c r="R50" s="39" t="n">
        <x:v>20126</x:v>
      </x:c>
      <x:c r="S50" s="39" t="str">
        <x:v>[30001]</x:v>
      </x:c>
      <x:c r="T50" s="39" t="str">
        <x:v>在本场战斗胜利时，获得30金币。</x:v>
      </x:c>
      <x:c r="U50" s="39" t="str">
        <x:v>已实现；星星费用、奇巧、能力Buff和衍生牌以正式配置为准。</x:v>
      </x:c>
    </x:row>
    <x:row r="51" ht="100" customHeight="1">
      <x:c r="A51" s="39" t="n">
        <x:v>50</x:v>
      </x:c>
      <x:c r="B51" s="39" t="str">
        <x:v>胜券在王</x:v>
      </x:c>
      <x:c r="C51" s="39" t="str">
        <x:v>Royal Gamble</x:v>
      </x:c>
      <x:c r="D51" s="39" t="str">
        <x:v>技能</x:v>
      </x:c>
      <x:c r="E51" s="39" t="str">
        <x:v>罕见</x:v>
      </x:c>
      <x:c r="F51" s="39" t="n">
        <x:v>0</x:v>
      </x:c>
      <x:c r="G51" s="39" t="n">
        <x:v>0</x:v>
      </x:c>
      <x:c r="H51" s="39" t="str">
        <x:v>获得9颗星星。</x:v>
      </x:c>
      <x:c r="I51" s="39" t="str">
        <x:v>获得9颗星星。</x:v>
      </x:c>
      <x:c r="J51" s="39" t="str">
        <x:v>消耗</x:v>
      </x:c>
      <x:c r="K51" s="39" t="str">
        <x:v>消耗、保留</x:v>
      </x:c>
      <x:c r="L51" s="39" t="str">
        <x:v>单人 / 多人</x:v>
      </x:c>
      <x:c r="M51" s="39" t="str">
        <x:v>自身</x:v>
      </x:c>
      <x:c r="N51" s="39" t="str">
        <x:v>ROYAL_GAMBLE</x:v>
      </x:c>
      <x:c r="O51" s="39" t="str">
        <x:v>https://spire-codex.com/zhs/cards/royal_gamble</x:v>
      </x:c>
      <x:c r="P51" s="39" t="n">
        <x:v>5</x:v>
      </x:c>
      <x:c r="Q51" s="39" t="n">
        <x:v>5</x:v>
      </x:c>
      <x:c r="R51" s="39" t="n">
        <x:v>20219</x:v>
      </x:c>
      <x:c r="S51" s="39" t="str">
        <x:v>[]</x:v>
      </x:c>
      <x:c r="T51" s="39" t="str">
        <x:v>消耗5颗星星。获得9颗星星。消耗。</x:v>
      </x:c>
      <x:c r="U51" s="39" t="str">
        <x:v>已实现；星星费用、奇巧、能力Buff和衍生牌以正式配置为准。</x:v>
      </x:c>
    </x:row>
    <x:row r="52" ht="100" customHeight="1">
      <x:c r="A52" s="39" t="n">
        <x:v>83</x:v>
      </x:c>
      <x:c r="B52" s="39" t="str">
        <x:v>追踪之刃</x:v>
      </x:c>
      <x:c r="C52" s="39" t="str">
        <x:v>Seeking Edge</x:v>
      </x:c>
      <x:c r="D52" s="39" t="str">
        <x:v>能力</x:v>
      </x:c>
      <x:c r="E52" s="39" t="str">
        <x:v>稀有</x:v>
      </x:c>
      <x:c r="F52" s="39" t="n">
        <x:v>1</x:v>
      </x:c>
      <x:c r="G52" s="39" t="n">
        <x:v>1</x:v>
      </x:c>
      <x:c r="H52" s="39" t="str">
        <x:v>铸造7。
君王之剑现在会对所有敌人造成伤害。</x:v>
      </x:c>
      <x:c r="I52" s="39" t="str">
        <x:v>铸造11。
君王之剑现在会对所有敌人造成伤害。</x:v>
      </x:c>
      <x:c r="J52" s="39" t="str">
        <x:v>无</x:v>
      </x:c>
      <x:c r="K52" s="39" t="str">
        <x:v>无</x:v>
      </x:c>
      <x:c r="L52" s="39" t="str">
        <x:v>单人 / 多人</x:v>
      </x:c>
      <x:c r="M52" s="39" t="str">
        <x:v>自身</x:v>
      </x:c>
      <x:c r="N52" s="39" t="str">
        <x:v>SEEKING_EDGE</x:v>
      </x:c>
      <x:c r="O52" s="39" t="str">
        <x:v>https://spire-codex.com/zhs/cards/seeking_edge</x:v>
      </x:c>
      <x:c r="P52" s="39" t="n">
        <x:v>0</x:v>
      </x:c>
      <x:c r="Q52" s="39" t="n">
        <x:v>0</x:v>
      </x:c>
      <x:c r="R52" s="39" t="n">
        <x:v>20193</x:v>
      </x:c>
      <x:c r="S52" s="39" t="str">
        <x:v>[30003]</x:v>
      </x:c>
      <x:c r="T52" s="39" t="str">
        <x:v>铸造7。此后君王之剑集中攻击当前敌人；本游戏为单敌战斗。</x:v>
      </x:c>
      <x:c r="U52" s="39" t="str">
        <x:v>已实现；星星费用、奇巧、能力Buff和衍生牌以正式配置为准。</x:v>
      </x:c>
    </x:row>
    <x:row r="53" ht="100" customHeight="1">
      <x:c r="A53" s="39" t="n">
        <x:v>69</x:v>
      </x:c>
      <x:c r="B53" s="39" t="str">
        <x:v>七星</x:v>
      </x:c>
      <x:c r="C53" s="39" t="str">
        <x:v>Seven Stars</x:v>
      </x:c>
      <x:c r="D53" s="39" t="str">
        <x:v>攻击</x:v>
      </x:c>
      <x:c r="E53" s="39" t="str">
        <x:v>稀有</x:v>
      </x:c>
      <x:c r="F53" s="39" t="n">
        <x:v>2</x:v>
      </x:c>
      <x:c r="G53" s="39" t="n">
        <x:v>1</x:v>
      </x:c>
      <x:c r="H53" s="39" t="str">
        <x:v>对所有敌人造成7点伤害7次。</x:v>
      </x:c>
      <x:c r="I53" s="39" t="str">
        <x:v>对所有敌人造成7点伤害7次。</x:v>
      </x:c>
      <x:c r="J53" s="39" t="str">
        <x:v>无</x:v>
      </x:c>
      <x:c r="K53" s="39" t="str">
        <x:v>无</x:v>
      </x:c>
      <x:c r="L53" s="39" t="str">
        <x:v>单人 / 多人</x:v>
      </x:c>
      <x:c r="M53" s="39" t="str">
        <x:v>所有敌人</x:v>
      </x:c>
      <x:c r="N53" s="39" t="str">
        <x:v>SEVEN_STARS</x:v>
      </x:c>
      <x:c r="O53" s="39" t="str">
        <x:v>https://spire-codex.com/zhs/cards/seven_stars</x:v>
      </x:c>
      <x:c r="P53" s="39" t="n">
        <x:v>7</x:v>
      </x:c>
      <x:c r="Q53" s="39" t="n">
        <x:v>7</x:v>
      </x:c>
      <x:c r="R53" s="39" t="n">
        <x:v>20222</x:v>
      </x:c>
      <x:c r="S53" s="39" t="str">
        <x:v>[30003,30003]</x:v>
      </x:c>
      <x:c r="T53" s="39" t="str">
        <x:v>消耗7颗星星。对敌人造成7点伤害7次。</x:v>
      </x:c>
      <x:c r="U53" s="39" t="str">
        <x:v>已实现；星星费用、奇巧、能力Buff和衍生牌以正式配置为准。</x:v>
      </x:c>
    </x:row>
    <x:row r="54" ht="100" customHeight="1">
      <x:c r="A54" s="39" t="n">
        <x:v>12</x:v>
      </x:c>
      <x:c r="B54" s="39" t="str">
        <x:v>太阳打击</x:v>
      </x:c>
      <x:c r="C54" s="39" t="str">
        <x:v>Solar Strike</x:v>
      </x:c>
      <x:c r="D54" s="39" t="str">
        <x:v>攻击</x:v>
      </x:c>
      <x:c r="E54" s="39" t="str">
        <x:v>普通</x:v>
      </x:c>
      <x:c r="F54" s="39" t="n">
        <x:v>1</x:v>
      </x:c>
      <x:c r="G54" s="39" t="n">
        <x:v>1</x:v>
      </x:c>
      <x:c r="H54" s="39" t="str">
        <x:v>造成9点伤害。
获得1颗星星。</x:v>
      </x:c>
      <x:c r="I54" s="39" t="str">
        <x:v>造成10点伤害。
获得2颗星星。</x:v>
      </x:c>
      <x:c r="J54" s="39" t="str">
        <x:v>无</x:v>
      </x:c>
      <x:c r="K54" s="39" t="str">
        <x:v>无</x:v>
      </x:c>
      <x:c r="L54" s="39" t="str">
        <x:v>单人 / 多人</x:v>
      </x:c>
      <x:c r="M54" s="39" t="str">
        <x:v>单个敌人</x:v>
      </x:c>
      <x:c r="N54" s="39" t="str">
        <x:v>SOLAR_STRIKE</x:v>
      </x:c>
      <x:c r="O54" s="39" t="str">
        <x:v>https://spire-codex.com/zhs/cards/solar_strike</x:v>
      </x:c>
      <x:c r="P54" s="39" t="n">
        <x:v>0</x:v>
      </x:c>
      <x:c r="Q54" s="39" t="n">
        <x:v>0</x:v>
      </x:c>
      <x:c r="R54" s="39" t="n">
        <x:v>20208</x:v>
      </x:c>
      <x:c r="S54" s="39" t="str">
        <x:v>[30003]</x:v>
      </x:c>
      <x:c r="T54" s="39" t="str">
        <x:v>造成9点伤害。获得1颗星星。</x:v>
      </x:c>
      <x:c r="U54" s="39" t="str">
        <x:v>已实现；星星费用、奇巧、能力Buff和衍生牌以正式配置为准。</x:v>
      </x:c>
    </x:row>
    <x:row r="55" ht="100" customHeight="1">
      <x:c r="A55" s="39" t="n">
        <x:v>60</x:v>
      </x:c>
      <x:c r="B55" s="39" t="str">
        <x:v>光谱偏移</x:v>
      </x:c>
      <x:c r="C55" s="39" t="str">
        <x:v>Spectrum Shift</x:v>
      </x:c>
      <x:c r="D55" s="39" t="str">
        <x:v>能力</x:v>
      </x:c>
      <x:c r="E55" s="39" t="str">
        <x:v>罕见</x:v>
      </x:c>
      <x:c r="F55" s="39" t="n">
        <x:v>2</x:v>
      </x:c>
      <x:c r="G55" s="39" t="n">
        <x:v>1</x:v>
      </x:c>
      <x:c r="H55" s="39" t="str">
        <x:v>在你的回合开始时，将1张随机无色牌添加到你的手牌中。</x:v>
      </x:c>
      <x:c r="I55" s="39" t="str">
        <x:v>在你的回合开始时，将1张随机无色牌添加到你的手牌中。</x:v>
      </x:c>
      <x:c r="J55" s="39" t="str">
        <x:v>无</x:v>
      </x:c>
      <x:c r="K55" s="39" t="str">
        <x:v>无</x:v>
      </x:c>
      <x:c r="L55" s="39" t="str">
        <x:v>单人 / 多人</x:v>
      </x:c>
      <x:c r="M55" s="39" t="str">
        <x:v>自身</x:v>
      </x:c>
      <x:c r="N55" s="39" t="str">
        <x:v>SPECTRUM_SHIFT</x:v>
      </x:c>
      <x:c r="O55" s="39" t="str">
        <x:v>https://spire-codex.com/zhs/cards/spectrum_shift</x:v>
      </x:c>
      <x:c r="P55" s="39" t="n">
        <x:v>0</x:v>
      </x:c>
      <x:c r="Q55" s="39" t="n">
        <x:v>0</x:v>
      </x:c>
      <x:c r="R55" s="39" t="n">
        <x:v>20185</x:v>
      </x:c>
      <x:c r="S55" s="39" t="str">
        <x:v>[30001,30001]</x:v>
      </x:c>
      <x:c r="T55" s="39" t="str">
        <x:v>每回合补足基础手牌后，随机生成1张当前角色的普通奖励牌；不包含起始牌、先古牌和衍生牌。</x:v>
      </x:c>
      <x:c r="U55" s="39" t="str">
        <x:v>已实现；星星费用、奇巧、能力Buff和衍生牌以正式配置为准。</x:v>
      </x:c>
    </x:row>
    <x:row r="56" ht="100" customHeight="1">
      <x:c r="A56" s="39" t="n">
        <x:v>24</x:v>
      </x:c>
      <x:c r="B56" s="39" t="str">
        <x:v>战利品</x:v>
      </x:c>
      <x:c r="C56" s="39" t="str">
        <x:v>Spoils of Battle</x:v>
      </x:c>
      <x:c r="D56" s="39" t="str">
        <x:v>技能</x:v>
      </x:c>
      <x:c r="E56" s="39" t="str">
        <x:v>普通</x:v>
      </x:c>
      <x:c r="F56" s="39" t="n">
        <x:v>1</x:v>
      </x:c>
      <x:c r="G56" s="39" t="n">
        <x:v>1</x:v>
      </x:c>
      <x:c r="H56" s="39" t="str">
        <x:v>铸造5。
抽2张牌。</x:v>
      </x:c>
      <x:c r="I56" s="39" t="str">
        <x:v>铸造8。
抽2张牌。</x:v>
      </x:c>
      <x:c r="J56" s="39" t="str">
        <x:v>无</x:v>
      </x:c>
      <x:c r="K56" s="39" t="str">
        <x:v>无</x:v>
      </x:c>
      <x:c r="L56" s="39" t="str">
        <x:v>单人 / 多人</x:v>
      </x:c>
      <x:c r="M56" s="39" t="str">
        <x:v>自身</x:v>
      </x:c>
      <x:c r="N56" s="39" t="str">
        <x:v>SPOILS_OF_BATTLE</x:v>
      </x:c>
      <x:c r="O56" s="39" t="str">
        <x:v>https://spire-codex.com/zhs/cards/spoils_of_battle</x:v>
      </x:c>
      <x:c r="P56" s="39" t="n">
        <x:v>0</x:v>
      </x:c>
      <x:c r="Q56" s="39" t="n">
        <x:v>0</x:v>
      </x:c>
      <x:c r="R56" s="39" t="n">
        <x:v>20224</x:v>
      </x:c>
      <x:c r="S56" s="39" t="str">
        <x:v>[30001]</x:v>
      </x:c>
      <x:c r="T56" s="39" t="str">
        <x:v>铸造5。抽2张牌。</x:v>
      </x:c>
      <x:c r="U56" s="39" t="str">
        <x:v>已实现；星星费用、奇巧、能力Buff和衍生牌以正式配置为准。</x:v>
      </x:c>
    </x:row>
    <x:row r="57" ht="100" customHeight="1">
      <x:c r="A57" s="39" t="n">
        <x:v>2</x:v>
      </x:c>
      <x:c r="B57" s="39" t="str">
        <x:v>打击</x:v>
      </x:c>
      <x:c r="C57" s="39" t="str">
        <x:v>Strike</x:v>
      </x:c>
      <x:c r="D57" s="39" t="str">
        <x:v>攻击</x:v>
      </x:c>
      <x:c r="E57" s="39" t="str">
        <x:v>基础</x:v>
      </x:c>
      <x:c r="F57" s="39" t="n">
        <x:v>1</x:v>
      </x:c>
      <x:c r="G57" s="39" t="n">
        <x:v>1</x:v>
      </x:c>
      <x:c r="H57" s="39" t="str">
        <x:v>造成6点伤害。</x:v>
      </x:c>
      <x:c r="I57" s="39" t="str">
        <x:v>造成9点伤害。</x:v>
      </x:c>
      <x:c r="J57" s="39" t="str">
        <x:v>无</x:v>
      </x:c>
      <x:c r="K57" s="39" t="str">
        <x:v>无</x:v>
      </x:c>
      <x:c r="L57" s="39" t="str">
        <x:v>单人 / 多人</x:v>
      </x:c>
      <x:c r="M57" s="39" t="str">
        <x:v>单个敌人</x:v>
      </x:c>
      <x:c r="N57" s="39" t="str">
        <x:v>STRIKE_REGENT</x:v>
      </x:c>
      <x:c r="O57" s="39" t="str">
        <x:v>https://spire-codex.com/zhs/cards/strike_regent</x:v>
      </x:c>
      <x:c r="P57" s="39" t="n">
        <x:v>0</x:v>
      </x:c>
      <x:c r="Q57" s="39" t="n">
        <x:v>0</x:v>
      </x:c>
      <x:c r="R57" s="39" t="n">
        <x:v>20127</x:v>
      </x:c>
      <x:c r="S57" s="39" t="str">
        <x:v>[30003]</x:v>
      </x:c>
      <x:c r="T57" s="39" t="str">
        <x:v>造成6点伤害。</x:v>
      </x:c>
      <x:c r="U57" s="39" t="str">
        <x:v>已实现；星星费用、奇巧、能力Buff和衍生牌以正式配置为准。</x:v>
      </x:c>
    </x:row>
    <x:row r="58" ht="100" customHeight="1">
      <x:c r="A58" s="39" t="n">
        <x:v>51</x:v>
      </x:c>
      <x:c r="B58" s="39" t="str">
        <x:v>征召上前</x:v>
      </x:c>
      <x:c r="C58" s="39" t="str">
        <x:v>Summon Forth</x:v>
      </x:c>
      <x:c r="D58" s="39" t="str">
        <x:v>技能</x:v>
      </x:c>
      <x:c r="E58" s="39" t="str">
        <x:v>罕见</x:v>
      </x:c>
      <x:c r="F58" s="39" t="n">
        <x:v>1</x:v>
      </x:c>
      <x:c r="G58" s="39" t="n">
        <x:v>1</x:v>
      </x:c>
      <x:c r="H58" s="39" t="str">
        <x:v>不论何处，将君王之剑放入你的手牌。
铸造8。</x:v>
      </x:c>
      <x:c r="I58" s="39" t="str">
        <x:v>不论何处，将君王之剑放入你的手牌。
铸造11。</x:v>
      </x:c>
      <x:c r="J58" s="39" t="str">
        <x:v>无</x:v>
      </x:c>
      <x:c r="K58" s="39" t="str">
        <x:v>无</x:v>
      </x:c>
      <x:c r="L58" s="39" t="str">
        <x:v>单人 / 多人</x:v>
      </x:c>
      <x:c r="M58" s="39" t="str">
        <x:v>自身</x:v>
      </x:c>
      <x:c r="N58" s="39" t="str">
        <x:v>SUMMON_FORTH</x:v>
      </x:c>
      <x:c r="O58" s="39" t="str">
        <x:v>https://spire-codex.com/zhs/cards/summon_forth</x:v>
      </x:c>
      <x:c r="P58" s="39" t="n">
        <x:v>0</x:v>
      </x:c>
      <x:c r="Q58" s="39" t="n">
        <x:v>0</x:v>
      </x:c>
      <x:c r="R58" s="39" t="n">
        <x:v>20227</x:v>
      </x:c>
      <x:c r="S58" s="39" t="str">
        <x:v>[30001]</x:v>
      </x:c>
      <x:c r="T58" s="39" t="str">
        <x:v>铸造8，然后将本场君王之剑召回手牌。满手时无法召回。</x:v>
      </x:c>
      <x:c r="U58" s="39" t="str">
        <x:v>已实现；星星费用、奇巧、能力Buff和衍生牌以正式配置为准。</x:v>
      </x:c>
    </x:row>
    <x:row r="59" ht="100" customHeight="1">
      <x:c r="A59" s="39" t="n">
        <x:v>35</x:v>
      </x:c>
      <x:c r="B59" s="39" t="str">
        <x:v>超质量体</x:v>
      </x:c>
      <x:c r="C59" s="39" t="str">
        <x:v>Supermassive</x:v>
      </x:c>
      <x:c r="D59" s="39" t="str">
        <x:v>攻击</x:v>
      </x:c>
      <x:c r="E59" s="39" t="str">
        <x:v>罕见</x:v>
      </x:c>
      <x:c r="F59" s="39" t="n">
        <x:v>1</x:v>
      </x:c>
      <x:c r="G59" s="39" t="n">
        <x:v>1</x:v>
      </x:c>
      <x:c r="H59" s="39" t="str">
        <x:v>造成5点伤害。
你在本场战斗中每生成过一张牌，这张牌就额外造成3点伤害。</x:v>
      </x:c>
      <x:c r="I59" s="39" t="str">
        <x:v>造成5点伤害。
你在本场战斗中每生成过一张牌，这张牌就额外造成4点伤害。</x:v>
      </x:c>
      <x:c r="J59" s="39" t="str">
        <x:v>无</x:v>
      </x:c>
      <x:c r="K59" s="39" t="str">
        <x:v>无</x:v>
      </x:c>
      <x:c r="L59" s="39" t="str">
        <x:v>单人 / 多人</x:v>
      </x:c>
      <x:c r="M59" s="39" t="str">
        <x:v>单个敌人</x:v>
      </x:c>
      <x:c r="N59" s="39" t="str">
        <x:v>SUPERMASSIVE</x:v>
      </x:c>
      <x:c r="O59" s="39" t="str">
        <x:v>https://spire-codex.com/zhs/cards/supermassive</x:v>
      </x:c>
      <x:c r="P59" s="39" t="n">
        <x:v>0</x:v>
      </x:c>
      <x:c r="Q59" s="39" t="n">
        <x:v>0</x:v>
      </x:c>
      <x:c r="R59" s="39" t="n">
        <x:v>20238</x:v>
      </x:c>
      <x:c r="S59" s="39" t="str">
        <x:v>[30003]</x:v>
      </x:c>
      <x:c r="T59" s="39" t="str">
        <x:v>造成5点伤害；本场每生成过1张牌，额外造成3点伤害。</x:v>
      </x:c>
      <x:c r="U59" s="39" t="str">
        <x:v>已实现；星星费用、奇巧、能力Buff和衍生牌以正式配置为准。</x:v>
      </x:c>
    </x:row>
    <x:row r="60" ht="100" customHeight="1">
      <x:c r="A60" s="39" t="n">
        <x:v>84</x:v>
      </x:c>
      <x:c r="B60" s="39" t="str">
        <x:v>剑圣</x:v>
      </x:c>
      <x:c r="C60" s="39" t="str">
        <x:v>Sword Sage</x:v>
      </x:c>
      <x:c r="D60" s="39" t="str">
        <x:v>能力</x:v>
      </x:c>
      <x:c r="E60" s="39" t="str">
        <x:v>稀有</x:v>
      </x:c>
      <x:c r="F60" s="39" t="n">
        <x:v>2</x:v>
      </x:c>
      <x:c r="G60" s="39" t="n">
        <x:v>1</x:v>
      </x:c>
      <x:c r="H60" s="39" t="str">
        <x:v>君王之剑获得重放1。</x:v>
      </x:c>
      <x:c r="I60" s="39" t="str">
        <x:v>君王之剑获得重放1。</x:v>
      </x:c>
      <x:c r="J60" s="39" t="str">
        <x:v>无</x:v>
      </x:c>
      <x:c r="K60" s="39" t="str">
        <x:v>无</x:v>
      </x:c>
      <x:c r="L60" s="39" t="str">
        <x:v>单人 / 多人</x:v>
      </x:c>
      <x:c r="M60" s="39" t="str">
        <x:v>自身</x:v>
      </x:c>
      <x:c r="N60" s="39" t="str">
        <x:v>SWORD_SAGE</x:v>
      </x:c>
      <x:c r="O60" s="39" t="str">
        <x:v>https://spire-codex.com/zhs/cards/sword_sage</x:v>
      </x:c>
      <x:c r="P60" s="39" t="n">
        <x:v>0</x:v>
      </x:c>
      <x:c r="Q60" s="39" t="n">
        <x:v>0</x:v>
      </x:c>
      <x:c r="R60" s="39" t="n">
        <x:v>20191</x:v>
      </x:c>
      <x:c r="S60" s="39" t="str">
        <x:v>[30001,30003]</x:v>
      </x:c>
      <x:c r="T60" s="39" t="str">
        <x:v>君王之剑每次打出时额外结算1次。</x:v>
      </x:c>
      <x:c r="U60" s="39" t="str">
        <x:v>已实现；星星费用、奇巧、能力Buff和衍生牌以正式配置为准。</x:v>
      </x:c>
    </x:row>
    <x:row r="61" ht="100" customHeight="1">
      <x:c r="A61" s="39" t="n">
        <x:v>52</x:v>
      </x:c>
      <x:c r="B61" s="39" t="str">
        <x:v>地形改造</x:v>
      </x:c>
      <x:c r="C61" s="39" t="str">
        <x:v>Terraforming</x:v>
      </x:c>
      <x:c r="D61" s="39" t="str">
        <x:v>技能</x:v>
      </x:c>
      <x:c r="E61" s="39" t="str">
        <x:v>罕见</x:v>
      </x:c>
      <x:c r="F61" s="39" t="n">
        <x:v>1</x:v>
      </x:c>
      <x:c r="G61" s="39" t="n">
        <x:v>1</x:v>
      </x:c>
      <x:c r="H61" s="39" t="str">
        <x:v>获得6点活力。</x:v>
      </x:c>
      <x:c r="I61" s="39" t="str">
        <x:v>获得8点活力。</x:v>
      </x:c>
      <x:c r="J61" s="39" t="str">
        <x:v>无</x:v>
      </x:c>
      <x:c r="K61" s="39" t="str">
        <x:v>无</x:v>
      </x:c>
      <x:c r="L61" s="39" t="str">
        <x:v>单人 / 多人</x:v>
      </x:c>
      <x:c r="M61" s="39" t="str">
        <x:v>自身</x:v>
      </x:c>
      <x:c r="N61" s="39" t="str">
        <x:v>TERRAFORMING</x:v>
      </x:c>
      <x:c r="O61" s="39" t="str">
        <x:v>https://spire-codex.com/zhs/cards/terraforming</x:v>
      </x:c>
      <x:c r="P61" s="39" t="n">
        <x:v>0</x:v>
      </x:c>
      <x:c r="Q61" s="39" t="n">
        <x:v>0</x:v>
      </x:c>
      <x:c r="R61" s="39" t="n">
        <x:v>20128</x:v>
      </x:c>
      <x:c r="S61" s="39" t="str">
        <x:v>[30003]</x:v>
      </x:c>
      <x:c r="T61" s="39" t="str">
        <x:v>你的下一张攻击牌额外造成6点伤害。</x:v>
      </x:c>
      <x:c r="U61" s="39" t="str">
        <x:v>已实现；星星费用、奇巧、能力Buff和衍生牌以正式配置为准。</x:v>
      </x:c>
    </x:row>
    <x:row r="62" ht="100" customHeight="1">
      <x:c r="A62" s="39" t="n">
        <x:v>88</x:v>
      </x:c>
      <x:c r="B62" s="39" t="str">
        <x:v>封印王座</x:v>
      </x:c>
      <x:c r="C62" s="39" t="str">
        <x:v>The Sealed Throne</x:v>
      </x:c>
      <x:c r="D62" s="39" t="str">
        <x:v>能力</x:v>
      </x:c>
      <x:c r="E62" s="39" t="str">
        <x:v>先古</x:v>
      </x:c>
      <x:c r="F62" s="39" t="n">
        <x:v>1</x:v>
      </x:c>
      <x:c r="G62" s="39" t="n">
        <x:v>0</x:v>
      </x:c>
      <x:c r="H62" s="39" t="str">
        <x:v>你每打出一张牌，获得1颗星星。</x:v>
      </x:c>
      <x:c r="I62" s="39" t="str">
        <x:v>你每打出一张牌，获得1颗星星。</x:v>
      </x:c>
      <x:c r="J62" s="39" t="str">
        <x:v>无</x:v>
      </x:c>
      <x:c r="K62" s="39" t="str">
        <x:v>无</x:v>
      </x:c>
      <x:c r="L62" s="39" t="str">
        <x:v>单人 / 多人</x:v>
      </x:c>
      <x:c r="M62" s="39" t="str">
        <x:v>自身</x:v>
      </x:c>
      <x:c r="N62" s="39" t="str">
        <x:v>THE_SEALED_THRONE</x:v>
      </x:c>
      <x:c r="O62" s="39" t="str">
        <x:v>https://spire-codex.com/zhs/cards/the_sealed_throne</x:v>
      </x:c>
      <x:c r="P62" s="39" t="n">
        <x:v>3</x:v>
      </x:c>
      <x:c r="Q62" s="39" t="n">
        <x:v>3</x:v>
      </x:c>
      <x:c r="R62" s="39" t="n">
        <x:v>20187</x:v>
      </x:c>
      <x:c r="S62" s="39" t="str">
        <x:v>[30001]</x:v>
      </x:c>
      <x:c r="T62" s="39" t="str">
        <x:v>消耗3颗星星。之后每打出一张牌，获得1颗星星。</x:v>
      </x:c>
      <x:c r="U62" s="39" t="str">
        <x:v>已实现；星星费用、奇巧、能力Buff和衍生牌以正式配置为准。</x:v>
      </x:c>
    </x:row>
    <x:row r="63" ht="100" customHeight="1">
      <x:c r="A63" s="39" t="n">
        <x:v>76</x:v>
      </x:c>
      <x:c r="B63" s="39" t="str">
        <x:v>铸剑者</x:v>
      </x:c>
      <x:c r="C63" s="39" t="str">
        <x:v>The Smith</x:v>
      </x:c>
      <x:c r="D63" s="39" t="str">
        <x:v>技能</x:v>
      </x:c>
      <x:c r="E63" s="39" t="str">
        <x:v>稀有</x:v>
      </x:c>
      <x:c r="F63" s="39" t="n">
        <x:v>1</x:v>
      </x:c>
      <x:c r="G63" s="39" t="n">
        <x:v>1</x:v>
      </x:c>
      <x:c r="H63" s="39" t="str">
        <x:v>铸造30。</x:v>
      </x:c>
      <x:c r="I63" s="39" t="str">
        <x:v>铸造40。</x:v>
      </x:c>
      <x:c r="J63" s="39" t="str">
        <x:v>无</x:v>
      </x:c>
      <x:c r="K63" s="39" t="str">
        <x:v>无</x:v>
      </x:c>
      <x:c r="L63" s="39" t="str">
        <x:v>单人 / 多人</x:v>
      </x:c>
      <x:c r="M63" s="39" t="str">
        <x:v>自身</x:v>
      </x:c>
      <x:c r="N63" s="39" t="str">
        <x:v>THE_SMITH</x:v>
      </x:c>
      <x:c r="O63" s="39" t="str">
        <x:v>https://spire-codex.com/zhs/cards/the_smith</x:v>
      </x:c>
      <x:c r="P63" s="39" t="n">
        <x:v>4</x:v>
      </x:c>
      <x:c r="Q63" s="39" t="n">
        <x:v>4</x:v>
      </x:c>
      <x:c r="R63" s="39" t="n">
        <x:v>20228</x:v>
      </x:c>
      <x:c r="S63" s="39" t="str">
        <x:v>[30001]</x:v>
      </x:c>
      <x:c r="T63" s="39" t="str">
        <x:v>消耗4颗星星。铸造30。</x:v>
      </x:c>
      <x:c r="U63" s="39" t="str">
        <x:v>已实现；星星费用、奇巧、能力Buff和衍生牌以正式配置为准。</x:v>
      </x:c>
    </x:row>
    <x:row r="64" ht="100" customHeight="1">
      <x:c r="A64" s="39" t="n">
        <x:v>85</x:v>
      </x:c>
      <x:c r="B64" s="39" t="str">
        <x:v>暴政</x:v>
      </x:c>
      <x:c r="C64" s="39" t="str">
        <x:v>Tyranny</x:v>
      </x:c>
      <x:c r="D64" s="39" t="str">
        <x:v>能力</x:v>
      </x:c>
      <x:c r="E64" s="39" t="str">
        <x:v>稀有</x:v>
      </x:c>
      <x:c r="F64" s="39" t="n">
        <x:v>1</x:v>
      </x:c>
      <x:c r="G64" s="39" t="n">
        <x:v>1</x:v>
      </x:c>
      <x:c r="H64" s="39" t="str">
        <x:v>在你的回合开始时，抽一张牌，并从你的手牌中消耗1张牌。</x:v>
      </x:c>
      <x:c r="I64" s="39" t="str">
        <x:v>在你的回合开始时，抽一张牌，并从你的手牌中消耗1张牌。</x:v>
      </x:c>
      <x:c r="J64" s="39" t="str">
        <x:v>消耗</x:v>
      </x:c>
      <x:c r="K64" s="39" t="str">
        <x:v>消耗、固有</x:v>
      </x:c>
      <x:c r="L64" s="39" t="str">
        <x:v>单人 / 多人</x:v>
      </x:c>
      <x:c r="M64" s="39" t="str">
        <x:v>自身</x:v>
      </x:c>
      <x:c r="N64" s="39" t="str">
        <x:v>TYRANNY</x:v>
      </x:c>
      <x:c r="O64" s="39" t="str">
        <x:v>https://spire-codex.com/zhs/cards/tyranny</x:v>
      </x:c>
      <x:c r="P64" s="39" t="n">
        <x:v>0</x:v>
      </x:c>
      <x:c r="Q64" s="39" t="n">
        <x:v>0</x:v>
      </x:c>
      <x:c r="R64" s="39" t="n">
        <x:v>20129</x:v>
      </x:c>
      <x:c r="S64" s="39" t="str">
        <x:v>[30001]</x:v>
      </x:c>
      <x:c r="T64" s="39" t="str">
        <x:v>在你的回合补足基础手牌后，抽1张牌，然后消耗1张手牌。</x:v>
      </x:c>
      <x:c r="U64" s="39" t="str">
        <x:v>已实现；星星费用、奇巧、能力Buff和衍生牌以正式配置为准。</x:v>
      </x:c>
    </x:row>
    <x:row r="65" ht="100" customHeight="1">
      <x:c r="A65" s="39" t="n">
        <x:v>4</x:v>
      </x:c>
      <x:c r="B65" s="39" t="str">
        <x:v>崇拜</x:v>
      </x:c>
      <x:c r="C65" s="39" t="str">
        <x:v>Venerate</x:v>
      </x:c>
      <x:c r="D65" s="39" t="str">
        <x:v>技能</x:v>
      </x:c>
      <x:c r="E65" s="39" t="str">
        <x:v>基础</x:v>
      </x:c>
      <x:c r="F65" s="39" t="n">
        <x:v>1</x:v>
      </x:c>
      <x:c r="G65" s="39" t="n">
        <x:v>1</x:v>
      </x:c>
      <x:c r="H65" s="39" t="str">
        <x:v>获得2颗星星。</x:v>
      </x:c>
      <x:c r="I65" s="39" t="str">
        <x:v>获得3颗星星。</x:v>
      </x:c>
      <x:c r="J65" s="39" t="str">
        <x:v>无</x:v>
      </x:c>
      <x:c r="K65" s="39" t="str">
        <x:v>无</x:v>
      </x:c>
      <x:c r="L65" s="39" t="str">
        <x:v>单人 / 多人</x:v>
      </x:c>
      <x:c r="M65" s="39" t="str">
        <x:v>自身</x:v>
      </x:c>
      <x:c r="N65" s="39" t="str">
        <x:v>VENERATE</x:v>
      </x:c>
      <x:c r="O65" s="39" t="str">
        <x:v>https://spire-codex.com/zhs/cards/venerate</x:v>
      </x:c>
      <x:c r="P65" s="39" t="n">
        <x:v>0</x:v>
      </x:c>
      <x:c r="Q65" s="39" t="n">
        <x:v>0</x:v>
      </x:c>
      <x:c r="R65" s="39" t="n">
        <x:v>20207</x:v>
      </x:c>
      <x:c r="S65" s="39" t="str">
        <x:v>[30001]</x:v>
      </x:c>
      <x:c r="T65" s="39" t="str">
        <x:v>获得2颗星星。</x:v>
      </x:c>
      <x:c r="U65" s="39" t="str">
        <x:v>已实现；星星费用、奇巧、能力Buff和衍生牌以正式配置为准。</x:v>
      </x:c>
    </x:row>
    <x:row r="66" ht="100" customHeight="1">
      <x:c r="A66" s="39" t="n">
        <x:v>86</x:v>
      </x:c>
      <x:c r="B66" s="39" t="str">
        <x:v>虚空形态</x:v>
      </x:c>
      <x:c r="C66" s="39" t="str">
        <x:v>Void Form</x:v>
      </x:c>
      <x:c r="D66" s="39" t="str">
        <x:v>能力</x:v>
      </x:c>
      <x:c r="E66" s="39" t="str">
        <x:v>稀有</x:v>
      </x:c>
      <x:c r="F66" s="39" t="n">
        <x:v>3</x:v>
      </x:c>
      <x:c r="G66" s="39" t="n">
        <x:v>3</x:v>
      </x:c>
      <x:c r="H66" s="39" t="str">
        <x:v>结束你的回合。
你可以免费打出每回合的前2张牌。</x:v>
      </x:c>
      <x:c r="I66" s="39" t="str">
        <x:v>结束你的回合。
你可以免费打出每回合的前2张牌。</x:v>
      </x:c>
      <x:c r="J66" s="39" t="str">
        <x:v>虚无</x:v>
      </x:c>
      <x:c r="K66" s="39" t="str">
        <x:v>无</x:v>
      </x:c>
      <x:c r="L66" s="39" t="str">
        <x:v>单人 / 多人</x:v>
      </x:c>
      <x:c r="M66" s="39" t="str">
        <x:v>自身</x:v>
      </x:c>
      <x:c r="N66" s="39" t="str">
        <x:v>VOID_FORM</x:v>
      </x:c>
      <x:c r="O66" s="39" t="str">
        <x:v>https://spire-codex.com/zhs/cards/void_form</x:v>
      </x:c>
      <x:c r="P66" s="39" t="n">
        <x:v>0</x:v>
      </x:c>
      <x:c r="Q66" s="39" t="n">
        <x:v>0</x:v>
      </x:c>
      <x:c r="R66" s="39" t="n">
        <x:v>20194</x:v>
      </x:c>
      <x:c r="S66" s="39" t="str">
        <x:v>[30001,30001,30001]</x:v>
      </x:c>
      <x:c r="T66" s="39" t="str">
        <x:v>结束当前回合。此后每回合打出的前2张牌无需骰子，仍需支付星星。</x:v>
      </x:c>
      <x:c r="U66" s="39" t="str">
        <x:v>已实现；星星费用、奇巧、能力Buff和衍生牌以正式配置为准。</x:v>
      </x:c>
    </x:row>
    <x:row r="67" ht="100" customHeight="1">
      <x:c r="A67" s="39" t="n">
        <x:v>13</x:v>
      </x:c>
      <x:c r="B67" s="39" t="str">
        <x:v>战火铸就</x:v>
      </x:c>
      <x:c r="C67" s="39" t="str">
        <x:v>Wrought in War</x:v>
      </x:c>
      <x:c r="D67" s="39" t="str">
        <x:v>攻击</x:v>
      </x:c>
      <x:c r="E67" s="39" t="str">
        <x:v>普通</x:v>
      </x:c>
      <x:c r="F67" s="39" t="n">
        <x:v>1</x:v>
      </x:c>
      <x:c r="G67" s="39" t="n">
        <x:v>1</x:v>
      </x:c>
      <x:c r="H67" s="39" t="str">
        <x:v>造成7点伤害。
铸造7。</x:v>
      </x:c>
      <x:c r="I67" s="39" t="str">
        <x:v>造成9点伤害。
铸造9。</x:v>
      </x:c>
      <x:c r="J67" s="39" t="str">
        <x:v>无</x:v>
      </x:c>
      <x:c r="K67" s="39" t="str">
        <x:v>无</x:v>
      </x:c>
      <x:c r="L67" s="39" t="str">
        <x:v>单人 / 多人</x:v>
      </x:c>
      <x:c r="M67" s="39" t="str">
        <x:v>单个敌人</x:v>
      </x:c>
      <x:c r="N67" s="39" t="str">
        <x:v>WROUGHT_IN_WAR</x:v>
      </x:c>
      <x:c r="O67" s="39" t="str">
        <x:v>https://spire-codex.com/zhs/cards/wrought_in_war</x:v>
      </x:c>
      <x:c r="P67" s="39" t="n">
        <x:v>0</x:v>
      </x:c>
      <x:c r="Q67" s="39" t="n">
        <x:v>0</x:v>
      </x:c>
      <x:c r="R67" s="39" t="n">
        <x:v>20223</x:v>
      </x:c>
      <x:c r="S67" s="39" t="str">
        <x:v>[30003]</x:v>
      </x:c>
      <x:c r="T67" s="39" t="str">
        <x:v>造成7点伤害。铸造7。</x:v>
      </x:c>
      <x:c r="U67" s="39" t="str">
        <x:v>已实现；星星费用、奇巧、能力Buff和衍生牌以正式配置为准。</x:v>
      </x:c>
    </x:row>
    <x:row r="68" ht="8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6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32" customHeight="1">
      <x:c r="A70" s="9" t="str">
        <x:v>来源：Spire Codex 数据快照 main @170ab6a3cdcf06d7d054ccca9807f410b77dcbff；原作升级仅供参考，本游戏未新增升级系统。</x:v>
      </x:c>
      <x:c r="B70" s="9"/>
      <x:c r="C70" s="9"/>
      <x:c r="D70" s="9"/>
      <x:c r="E70" s="9"/>
      <x:c r="F70" s="9"/>
      <x:c r="G70" s="9"/>
      <x:c r="H70" s="9"/>
      <x:c r="I70" s="9"/>
      <x:c r="J70" s="9"/>
      <x:c r="K70" s="9"/>
      <x:c r="L70" s="9"/>
      <x:c r="M70" s="9"/>
      <x:c r="N70" s="9"/>
      <x:c r="O70" s="9"/>
      <x:c r="P70" s="9"/>
      <x:c r="Q70" s="9"/>
      <x:c r="R70" s="9"/>
      <x:c r="S70" s="9"/>
      <x:c r="T70" s="9"/>
      <x:c r="U70" s="9"/>
    </x:row>
    <x:row r="71" ht="6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6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64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</x:row>
    <x:row r="74" ht="64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</x:row>
    <x:row r="75" ht="64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</x:row>
    <x:row r="76" ht="64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</x:row>
    <x:row r="77" ht="80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</x:row>
    <x:row r="78" ht="64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</x:row>
    <x:row r="79" ht="64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</x:row>
    <x:row r="80" ht="64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</x:row>
    <x:row r="81" ht="64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</x:row>
    <x:row r="82" ht="64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</x:row>
    <x:row r="83" ht="64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</x:row>
    <x:row r="84" ht="64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</x:row>
    <x:row r="85" ht="64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</x:row>
    <x:row r="86" ht="64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</x:row>
    <x:row r="87" ht="64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</x:row>
    <x:row r="88" ht="64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</x:row>
    <x:row r="89" ht="64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</x:row>
    <x:row r="90" ht="64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</x:row>
    <x:row r="91" ht="64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</x:row>
    <x:row r="92" ht="64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</x:row>
    <x:row r="93" ht="64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</x:row>
    <x:row r="94" ht="64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</x:row>
    <x:row r="95" ht="64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</x:row>
    <x:row r="98" ht="28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</x:row>
    <x:row r="99" ht="30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</x:row>
    <x:row r="100" ht="30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</x:row>
    <x:row r="101" ht="30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</x:row>
    <x:row r="102" ht="30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</x:row>
    <x:row r="103" ht="30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</x:row>
    <x:row r="104" ht="30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</x:row>
    <x:row r="105" ht="30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</x:row>
    <x:row r="106" ht="30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</x:row>
    <x:row r="107" ht="30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</x:row>
    <x:row r="108" ht="30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</x:row>
  </x:sheetData>
  <x:mergeCells>
    <x:mergeCell ref="A99:C99"/>
    <x:mergeCell ref="D99:Q99"/>
    <x:mergeCell ref="A100:C100"/>
    <x:mergeCell ref="D100:Q100"/>
    <x:mergeCell ref="A101:C101"/>
    <x:mergeCell ref="D101:Q101"/>
    <x:mergeCell ref="A102:C102"/>
    <x:mergeCell ref="D102:Q102"/>
    <x:mergeCell ref="A103:C103"/>
    <x:mergeCell ref="D103:Q103"/>
    <x:mergeCell ref="A104:C104"/>
    <x:mergeCell ref="D104:Q104"/>
    <x:mergeCell ref="A105:C105"/>
    <x:mergeCell ref="D105:Q105"/>
    <x:mergeCell ref="A106:C106"/>
    <x:mergeCell ref="D106:Q106"/>
    <x:mergeCell ref="A107:C107"/>
    <x:mergeCell ref="D107:Q107"/>
    <x:mergeCell ref="A108:C108"/>
    <x:mergeCell ref="D108:Q108"/>
    <x:mergeCell ref="A70:U70"/>
  </x:mergeCells>
  <x:pageMargins left="0.7" right="0.7" top="0.75" bottom="0.75" header="0.3" footer="0.3"/>
  <x:tableParts count="1">
    <x:tablePart xmlns:r="http://schemas.openxmlformats.org/officeDocument/2006/relationships" r:id="Raefe540193964e7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8" hidden="0" customWidth="1"/>
    <x:col min="4" max="4" width="12" hidden="0" customWidth="1"/>
    <x:col min="5" max="5" width="105" hidden="0" customWidth="1"/>
    <x:col min="6" max="6" width="47" hidden="0" customWidth="1"/>
    <x:col min="7" max="7" width="47" hidden="0" customWidth="1"/>
    <x:col min="8" max="8" width="56" hidden="0" customWidth="1"/>
    <x:col min="9" max="9" width="27" hidden="0" customWidth="1"/>
    <x:col min="10" max="10" width="64" hidden="0" customWidth="1"/>
  </x:cols>
  <x:sheetData>
    <x:row r="1">
      <x:c r="A1" s="9"/>
      <x:c r="B1" s="9"/>
      <x:c r="C1" s="9"/>
      <x:c r="D1" s="9"/>
      <x:c r="E1" s="9"/>
      <x:c r="F1"/>
      <x:c r="G1"/>
      <x:c r="H1"/>
      <x:c r="I1"/>
      <x:c r="J1"/>
    </x:row>
    <x:row r="2" ht="36" customHeight="1">
      <x:c r="A2" s="50" t="str">
        <x:v>已实现衍生牌与未接入卡牌</x:v>
      </x:c>
      <x:c r="B2" s="9"/>
      <x:c r="C2" s="9"/>
      <x:c r="D2" s="9"/>
      <x:c r="E2" s="9"/>
      <x:c r="F2"/>
      <x:c r="G2"/>
      <x:c r="H2"/>
      <x:c r="I2"/>
      <x:c r="J2"/>
    </x:row>
    <x:row r="3" ht="32" customHeight="1">
      <x:c r="A3" s="9" t="str">
        <x:v>衍生牌只在战斗中生成，不进入起始、普通商店和奖励；无新增选牌界面。</x:v>
      </x:c>
      <x:c r="B3" s="9"/>
      <x:c r="C3" s="9"/>
      <x:c r="D3" s="9"/>
      <x:c r="E3" s="9"/>
      <x:c r="F3"/>
      <x:c r="G3"/>
      <x:c r="H3"/>
      <x:c r="I3"/>
      <x:c r="J3"/>
    </x:row>
    <x:row r="4" ht="24" customHeight="1">
      <x:c r="A4" s="9"/>
      <x:c r="B4" s="9"/>
      <x:c r="C4" s="9"/>
      <x:c r="D4" s="9"/>
      <x:c r="E4" s="9"/>
      <x:c r="F4"/>
      <x:c r="G4"/>
      <x:c r="H4"/>
      <x:c r="I4"/>
      <x:c r="J4"/>
    </x:row>
    <x:row r="5" ht="32" customHeight="1">
      <x:c r="A5" s="48" t="str">
        <x:v>本游戏ID</x:v>
      </x:c>
      <x:c r="B5" s="48" t="str">
        <x:v>衍生牌</x:v>
      </x:c>
      <x:c r="C5" s="48" t="str">
        <x:v>骰子需求</x:v>
      </x:c>
      <x:c r="D5" s="48" t="str">
        <x:v>类型</x:v>
      </x:c>
      <x:c r="E5" s="48" t="str">
        <x:v>实现效果</x:v>
      </x:c>
      <x:c r="F5"/>
      <x:c r="G5"/>
      <x:c r="H5"/>
      <x:c r="I5"/>
      <x:c r="J5"/>
    </x:row>
    <x:row r="6" ht="64" customHeight="1">
      <x:c r="A6" s="9" t="n">
        <x:v>20169</x:v>
      </x:c>
      <x:c r="B6" s="9" t="str">
        <x:v>君王之剑</x:v>
      </x:c>
      <x:c r="C6" s="9" t="str">
        <x:v>[30003,30003]</x:v>
      </x:c>
      <x:c r="D6" s="9" t="str">
        <x:v>ATTACK</x:v>
      </x:c>
      <x:c r="E6" s="9" t="str">
        <x:v>造成10点伤害。保留。铸造增加本张牌的基础伤害。</x:v>
      </x:c>
      <x:c r="F6"/>
      <x:c r="G6"/>
      <x:c r="H6"/>
      <x:c r="I6"/>
      <x:c r="J6"/>
    </x:row>
    <x:row r="7" ht="84" customHeight="1">
      <x:c r="A7" s="9"/>
      <x:c r="B7" s="9"/>
      <x:c r="C7" s="9"/>
      <x:c r="D7" s="9"/>
      <x:c r="E7" s="9"/>
      <x:c r="F7"/>
      <x:c r="G7"/>
      <x:c r="H7"/>
      <x:c r="I7"/>
      <x:c r="J7"/>
    </x:row>
    <x:row r="8" ht="84" customHeight="1">
      <x:c r="A8" s="9"/>
      <x:c r="B8" s="9"/>
      <x:c r="C8" s="9"/>
      <x:c r="D8" s="9"/>
      <x:c r="E8" s="9"/>
      <x:c r="F8"/>
      <x:c r="G8"/>
      <x:c r="H8"/>
      <x:c r="I8"/>
      <x:c r="J8"/>
    </x:row>
    <x:row r="9" ht="32" customHeight="1">
      <x:c r="A9" s="9" t="str">
        <x:v>以下仍未投放；不代表原作卡牌机制都已实现。已实现范围以第一页和正式配置为准。</x:v>
      </x:c>
      <x:c r="B9" s="9"/>
      <x:c r="C9" s="9"/>
      <x:c r="D9" s="9"/>
      <x:c r="E9" s="9"/>
      <x:c r="F9"/>
      <x:c r="G9"/>
      <x:c r="H9"/>
      <x:c r="I9"/>
      <x:c r="J9"/>
    </x:row>
    <x:row r="10" ht="84" customHeight="1">
      <x:c r="A10" s="9"/>
      <x:c r="B10" s="9"/>
      <x:c r="C10" s="9"/>
      <x:c r="D10" s="9"/>
      <x:c r="E10" s="9"/>
      <x:c r="F10"/>
      <x:c r="G10"/>
      <x:c r="H10"/>
      <x:c r="I10"/>
      <x:c r="J10"/>
    </x:row>
    <x:row r="11" ht="32" customHeight="1">
      <x:c r="A11" s="48" t="str">
        <x:v>原作卡名</x:v>
      </x:c>
      <x:c r="B11" s="48" t="str">
        <x:v>原作卡牌ID</x:v>
      </x:c>
      <x:c r="C11" s="48" t="str">
        <x:v>类型</x:v>
      </x:c>
      <x:c r="D11" s="48" t="str">
        <x:v>稀有度</x:v>
      </x:c>
      <x:c r="E11" s="48" t="str">
        <x:v>未接入原因</x:v>
      </x:c>
      <x:c r="F11"/>
      <x:c r="G11"/>
      <x:c r="H11"/>
      <x:c r="I11"/>
      <x:c r="J11"/>
    </x:row>
    <x:row r="12" ht="54" customHeight="1">
      <x:c r="A12" s="9" t="str">
        <x:v>下去！</x:v>
      </x:c>
      <x:c r="B12" s="9" t="str">
        <x:v>BEGONE</x:v>
      </x:c>
      <x:c r="C12" s="9" t="str">
        <x:v>技能</x:v>
      </x:c>
      <x:c r="D12" s="9" t="str">
        <x:v>普通</x:v>
      </x:c>
      <x:c r="E12" s="9" t="str">
        <x:v>选择单张手牌变化为仆从，需要单卡变化与仆从衍生牌。</x:v>
      </x:c>
    </x:row>
    <x:row r="13" ht="54" customHeight="1">
      <x:c r="A13" s="9" t="str">
        <x:v>轰击</x:v>
      </x:c>
      <x:c r="B13" s="9" t="str">
        <x:v>BOMBARDMENT</x:v>
      </x:c>
      <x:c r="C13" s="9" t="str">
        <x:v>攻击</x:v>
      </x:c>
      <x:c r="D13" s="9" t="str">
        <x:v>稀有</x:v>
      </x:c>
      <x:c r="E13" s="9" t="str">
        <x:v>需要回合开始跨牌堆检测并自动打出，需独立验证触发顺序。</x:v>
      </x:c>
    </x:row>
    <x:row r="14" ht="54" customHeight="1">
      <x:c r="A14" s="9" t="str">
        <x:v>冲锋！！</x:v>
      </x:c>
      <x:c r="B14" s="9" t="str">
        <x:v>CHARGE</x:v>
      </x:c>
      <x:c r="C14" s="9" t="str">
        <x:v>技能</x:v>
      </x:c>
      <x:c r="D14" s="9" t="str">
        <x:v>罕见</x:v>
      </x:c>
      <x:c r="E14" s="9" t="str">
        <x:v>选择抽牌堆中的牌变化为仆从，需要选牌变化与仆从衍生牌。</x:v>
      </x:c>
    </x:row>
    <x:row r="15" ht="54" customHeight="1">
      <x:c r="A15" s="9" t="str">
        <x:v>碰撞轨迹</x:v>
      </x:c>
      <x:c r="B15" s="9" t="str">
        <x:v>COLLISION_COURSE</x:v>
      </x:c>
      <x:c r="C15" s="9" t="str">
        <x:v>攻击</x:v>
      </x:c>
      <x:c r="D15" s="9" t="str">
        <x:v>普通</x:v>
      </x:c>
      <x:c r="E15" s="9" t="str">
        <x:v>需要碎屑衍生牌与手牌污染。</x:v>
      </x:c>
    </x:row>
    <x:row r="16" ht="54" customHeight="1">
      <x:c r="A16" s="9" t="str">
        <x:v>征服者</x:v>
      </x:c>
      <x:c r="B16" s="9" t="str">
        <x:v>CONQUEROR</x:v>
      </x:c>
      <x:c r="C16" s="9" t="str">
        <x:v>技能</x:v>
      </x:c>
      <x:c r="D16" s="9" t="str">
        <x:v>罕见</x:v>
      </x:c>
      <x:c r="E16" s="9" t="str">
        <x:v>需要本回合君王之剑专属伤害倍率。</x:v>
      </x:c>
    </x:row>
    <x:row r="17" ht="54" customHeight="1">
      <x:c r="A17" s="9" t="str">
        <x:v>汇流</x:v>
      </x:c>
      <x:c r="B17" s="9" t="str">
        <x:v>CONVERGENCE</x:v>
      </x:c>
      <x:c r="C17" s="9" t="str">
        <x:v>技能</x:v>
      </x:c>
      <x:c r="D17" s="9" t="str">
        <x:v>罕见</x:v>
      </x:c>
      <x:c r="E17" s="9" t="str">
        <x:v>需要临时整手保留和下一回合资源。</x:v>
      </x:c>
    </x:row>
    <x:row r="18" ht="54" customHeight="1">
      <x:c r="A18" s="9" t="str">
        <x:v>迫降</x:v>
      </x:c>
      <x:c r="B18" s="9" t="str">
        <x:v>CRASH_LANDING</x:v>
      </x:c>
      <x:c r="C18" s="9" t="str">
        <x:v>攻击</x:v>
      </x:c>
      <x:c r="D18" s="9" t="str">
        <x:v>稀有</x:v>
      </x:c>
      <x:c r="E18" s="9" t="str">
        <x:v>需要碎屑衍生牌与手牌污染。</x:v>
      </x:c>
    </x:row>
    <x:row r="19" ht="54" customHeight="1">
      <x:c r="A19" s="9" t="str">
        <x:v>新月长矛</x:v>
      </x:c>
      <x:c r="B19" s="9" t="str">
        <x:v>CRESCENT_SPEAR</x:v>
      </x:c>
      <x:c r="C19" s="9" t="str">
        <x:v>攻击</x:v>
      </x:c>
      <x:c r="D19" s="9" t="str">
        <x:v>普通</x:v>
      </x:c>
      <x:c r="E19" s="9" t="str">
        <x:v>需要读取整副牌的星星费用数量。</x:v>
      </x:c>
    </x:row>
    <x:row r="20" ht="54" customHeight="1">
      <x:c r="A20" s="9" t="str">
        <x:v>抉择，抉择</x:v>
      </x:c>
      <x:c r="B20" s="9" t="str">
        <x:v>DECISIONS_DECISIONS</x:v>
      </x:c>
      <x:c r="C20" s="9" t="str">
        <x:v>技能</x:v>
      </x:c>
      <x:c r="D20" s="9" t="str">
        <x:v>稀有</x:v>
      </x:c>
      <x:c r="E20" s="9" t="str">
        <x:v>需要选择技能后连续打出同一快照，本次不新增选牌界面。</x:v>
      </x:c>
    </x:row>
    <x:row r="21" ht="54" customHeight="1">
      <x:c r="A21" s="9" t="str">
        <x:v>星灭</x:v>
      </x:c>
      <x:c r="B21" s="9" t="str">
        <x:v>DYING_STAR</x:v>
      </x:c>
      <x:c r="C21" s="9" t="str">
        <x:v>攻击</x:v>
      </x:c>
      <x:c r="D21" s="9" t="str">
        <x:v>稀有</x:v>
      </x:c>
      <x:c r="E21" s="9" t="str">
        <x:v>需要在临时压制基础上补充星星牌平衡。</x:v>
      </x:c>
    </x:row>
    <x:row r="22" ht="54" customHeight="1">
      <x:c r="A22" s="9" t="str">
        <x:v>护驾！！！</x:v>
      </x:c>
      <x:c r="B22" s="9" t="str">
        <x:v>GUARDS</x:v>
      </x:c>
      <x:c r="C22" s="9" t="str">
        <x:v>技能</x:v>
      </x:c>
      <x:c r="D22" s="9" t="str">
        <x:v>稀有</x:v>
      </x:c>
      <x:c r="E22" s="9" t="str">
        <x:v>依赖仆从衍生牌，本次未接入仆从牌组。</x:v>
      </x:c>
    </x:row>
    <x:row r="23" ht="54" customHeight="1">
      <x:c r="A23" s="9" t="str">
        <x:v>锤子时间</x:v>
      </x:c>
      <x:c r="B23" s="9" t="str">
        <x:v>HAMMER_TIME</x:v>
      </x:c>
      <x:c r="C23" s="9" t="str">
        <x:v>能力</x:v>
      </x:c>
      <x:c r="D23" s="9" t="str">
        <x:v>稀有</x:v>
      </x:c>
      <x:c r="E23" s="9" t="str">
        <x:v>需要其他玩家参与铸造，本游戏没有其他玩家。</x:v>
      </x:c>
    </x:row>
    <x:row r="24" ht="54" customHeight="1">
      <x:c r="A24" s="9" t="str">
        <x:v>天际钻头</x:v>
      </x:c>
      <x:c r="B24" s="9" t="str">
        <x:v>HEAVENLY_DRILL</x:v>
      </x:c>
      <x:c r="C24" s="9" t="str">
        <x:v>攻击</x:v>
      </x:c>
      <x:c r="D24" s="9" t="str">
        <x:v>稀有</x:v>
      </x:c>
      <x:c r="E24" s="9" t="str">
        <x:v>X费用需要耗尽可用资源并转换为动态次数；当前仍使用固定骰子费用。</x:v>
      </x:c>
    </x:row>
    <x:row r="25" ht="54" customHeight="1">
      <x:c r="A25" s="9" t="str">
        <x:v>传承之锤</x:v>
      </x:c>
      <x:c r="B25" s="9" t="str">
        <x:v>HEIRLOOM_HAMMER</x:v>
      </x:c>
      <x:c r="C25" s="9" t="str">
        <x:v>攻击</x:v>
      </x:c>
      <x:c r="D25" s="9" t="str">
        <x:v>稀有</x:v>
      </x:c>
      <x:c r="E25" s="9" t="str">
        <x:v>原效果依赖独立无色卡池与选中无色牌复制。</x:v>
      </x:c>
    </x:row>
    <x:row r="26" ht="54" customHeight="1">
      <x:c r="A26" s="9" t="str">
        <x:v>所向无敌</x:v>
      </x:c>
      <x:c r="B26" s="9" t="str">
        <x:v>I_AM_INVINCIBLE</x:v>
      </x:c>
      <x:c r="C26" s="9" t="str">
        <x:v>技能</x:v>
      </x:c>
      <x:c r="D26" s="9" t="str">
        <x:v>稀有</x:v>
      </x:c>
      <x:c r="E26" s="9" t="str">
        <x:v>需要回合末检测抽牌堆顶并自动打出，需独立验证触发顺序。</x:v>
      </x:c>
    </x:row>
    <x:row r="27" ht="54" customHeight="1">
      <x:c r="A27" s="9" t="str">
        <x:v>王者之踢</x:v>
      </x:c>
      <x:c r="B27" s="9" t="str">
        <x:v>KINGLY_KICK</x:v>
      </x:c>
      <x:c r="C27" s="9" t="str">
        <x:v>攻击</x:v>
      </x:c>
      <x:c r="D27" s="9" t="str">
        <x:v>罕见</x:v>
      </x:c>
      <x:c r="E27" s="9" t="str">
        <x:v>需要按抽取次数递减本实例的骰子费用。</x:v>
      </x:c>
    </x:row>
    <x:row r="28" ht="54" customHeight="1">
      <x:c r="A28" s="9" t="str">
        <x:v>决胜一击</x:v>
      </x:c>
      <x:c r="B28" s="9" t="str">
        <x:v>KNOCKOUT_BLOW</x:v>
      </x:c>
      <x:c r="C28" s="9" t="str">
        <x:v>攻击</x:v>
      </x:c>
      <x:c r="D28" s="9" t="str">
        <x:v>罕见</x:v>
      </x:c>
      <x:c r="E28" s="9" t="str">
        <x:v>需要斩杀返还星星的时序与单敌数值平衡。</x:v>
      </x:c>
    </x:row>
    <x:row r="29" ht="54" customHeight="1">
      <x:c r="A29" s="9" t="str">
        <x:v>何人僭越</x:v>
      </x:c>
      <x:c r="B29" s="9" t="str">
        <x:v>KNOW_THY_PLACE</x:v>
      </x:c>
      <x:c r="C29" s="9" t="str">
        <x:v>技能</x:v>
      </x:c>
      <x:c r="D29" s="9" t="str">
        <x:v>普通</x:v>
      </x:c>
      <x:c r="E29" s="9" t="str">
        <x:v>仅有简单减益，但未在本次能力配套范围增加。</x:v>
      </x:c>
    </x:row>
    <x:row r="30" ht="54" customHeight="1">
      <x:c r="A30" s="9" t="str">
        <x:v>慷慨捐助</x:v>
      </x:c>
      <x:c r="B30" s="9" t="str">
        <x:v>LARGESSE</x:v>
      </x:c>
      <x:c r="C30" s="9" t="str">
        <x:v>技能</x:v>
      </x:c>
      <x:c r="D30" s="9" t="str">
        <x:v>罕见</x:v>
      </x:c>
      <x:c r="E30" s="9" t="str">
        <x:v>仅向另一名玩家赠送牌，本游戏没有其他玩家。</x:v>
      </x:c>
    </x:row>
    <x:row r="31" ht="54" customHeight="1">
      <x:c r="A31" s="9" t="str">
        <x:v>如此甚好</x:v>
      </x:c>
      <x:c r="B31" s="9" t="str">
        <x:v>MAKE_IT_SO</x:v>
      </x:c>
      <x:c r="C31" s="9" t="str">
        <x:v>攻击</x:v>
      </x:c>
      <x:c r="D31" s="9" t="str">
        <x:v>稀有</x:v>
      </x:c>
      <x:c r="E31" s="9" t="str">
        <x:v>需要跨牌堆响应每3张技能的回手机制。</x:v>
      </x:c>
    </x:row>
    <x:row r="32" ht="54" customHeight="1">
      <x:c r="A32" s="9" t="str">
        <x:v>流星雨</x:v>
      </x:c>
      <x:c r="B32" s="9" t="str">
        <x:v>METEOR_SHOWER</x:v>
      </x:c>
      <x:c r="C32" s="9" t="str">
        <x:v>攻击</x:v>
      </x:c>
      <x:c r="D32" s="9" t="str">
        <x:v>先古</x:v>
      </x:c>
      <x:c r="E32" s="9" t="str">
        <x:v>需要在群攻改为单敌后重设减益与费用。</x:v>
      </x:c>
    </x:row>
    <x:row r="33" ht="54" customHeight="1">
      <x:c r="A33" s="9" t="str">
        <x:v>独白</x:v>
      </x:c>
      <x:c r="B33" s="9" t="str">
        <x:v>MONOLOGUE</x:v>
      </x:c>
      <x:c r="C33" s="9" t="str">
        <x:v>技能</x:v>
      </x:c>
      <x:c r="D33" s="9" t="str">
        <x:v>罕见</x:v>
      </x:c>
      <x:c r="E33" s="9" t="str">
        <x:v>按用户要求删除，不恢复。</x:v>
      </x:c>
    </x:row>
    <x:row r="34" ht="54" customHeight="1">
      <x:c r="A34" s="9" t="str">
        <x:v>粒子墙</x:v>
      </x:c>
      <x:c r="B34" s="9" t="str">
        <x:v>PARTICLE_WALL</x:v>
      </x:c>
      <x:c r="C34" s="9" t="str">
        <x:v>技能</x:v>
      </x:c>
      <x:c r="D34" s="9" t="str">
        <x:v>罕见</x:v>
      </x:c>
      <x:c r="E34" s="9" t="str">
        <x:v>需要打出后将本牌移动到抽牌堆底。</x:v>
      </x:c>
    </x:row>
    <x:row r="35" ht="54" customHeight="1">
      <x:c r="A35" s="9" t="str">
        <x:v>类星体</x:v>
      </x:c>
      <x:c r="B35" s="9" t="str">
        <x:v>QUASAR</x:v>
      </x:c>
      <x:c r="C35" s="9" t="str">
        <x:v>技能</x:v>
      </x:c>
      <x:c r="D35" s="9" t="str">
        <x:v>罕见</x:v>
      </x:c>
      <x:c r="E35" s="9" t="str">
        <x:v>需要发现卡牌选项与选择生成机制，本次不新增选牌界面。</x:v>
      </x:c>
    </x:row>
    <x:row r="36" ht="54" customHeight="1">
      <x:c r="A36" s="9" t="str">
        <x:v>倒映</x:v>
      </x:c>
      <x:c r="B36" s="9" t="str">
        <x:v>REFLECT</x:v>
      </x:c>
      <x:c r="C36" s="9" t="str">
        <x:v>技能</x:v>
      </x:c>
      <x:c r="D36" s="9" t="str">
        <x:v>罕见</x:v>
      </x:c>
      <x:c r="E36" s="9" t="str">
        <x:v>需要记录本回合实际格挡的攻击伤害并反射。</x:v>
      </x:c>
    </x:row>
    <x:row r="37" ht="54" customHeight="1">
      <x:c r="A37" s="9" t="str">
        <x:v>共鸣</x:v>
      </x:c>
      <x:c r="B37" s="9" t="str">
        <x:v>RESONANCE</x:v>
      </x:c>
      <x:c r="C37" s="9" t="str">
        <x:v>技能</x:v>
      </x:c>
      <x:c r="D37" s="9" t="str">
        <x:v>罕见</x:v>
      </x:c>
      <x:c r="E37" s="9" t="str">
        <x:v>需要额外的跨双方力量增减平衡，本次未投放。</x:v>
      </x:c>
    </x:row>
    <x:row r="38" ht="54" customHeight="1">
      <x:c r="A38" s="9" t="str">
        <x:v>明耀打击</x:v>
      </x:c>
      <x:c r="B38" s="9" t="str">
        <x:v>SHINING_STRIKE</x:v>
      </x:c>
      <x:c r="C38" s="9" t="str">
        <x:v>攻击</x:v>
      </x:c>
      <x:c r="D38" s="9" t="str">
        <x:v>罕见</x:v>
      </x:c>
      <x:c r="E38" s="9" t="str">
        <x:v>需要打出后将本牌移动到抽牌堆顶。</x:v>
      </x:c>
    </x:row>
    <x:row r="39" ht="54" customHeight="1">
      <x:c r="A39" s="9" t="str">
        <x:v>星尘</x:v>
      </x:c>
      <x:c r="B39" s="9" t="str">
        <x:v>STARDUST</x:v>
      </x:c>
      <x:c r="C39" s="9" t="str">
        <x:v>攻击</x:v>
      </x:c>
      <x:c r="D39" s="9" t="str">
        <x:v>罕见</x:v>
      </x:c>
      <x:c r="E39" s="9" t="str">
        <x:v>X费用需要耗尽可用资源并转换为动态次数；当前仍使用固定骰子费用。</x:v>
      </x:c>
    </x:row>
    <x:row r="40">
      <x:c r="A40" s="9"/>
      <x:c r="B40" s="9"/>
      <x:c r="C40" s="9"/>
      <x:c r="D40" s="9"/>
      <x:c r="E40" s="9"/>
    </x:row>
  </x:sheetData>
  <x:mergeCells>
    <x:mergeCell ref="A2:E2"/>
    <x:mergeCell ref="A3:E3"/>
    <x:mergeCell ref="A9:E9"/>
  </x:mergeCells>
  <x:pageMargins left="0.7" right="0.7" top="0.75" bottom="0.75" header="0.3" footer="0.3"/>
  <x:tableParts count="1">
    <x:tablePart xmlns:r="http://schemas.openxmlformats.org/officeDocument/2006/relationships" r:id="R97dba0e77d474b19"/>
  </x:tableParts>
</x:worksheet>
</file>