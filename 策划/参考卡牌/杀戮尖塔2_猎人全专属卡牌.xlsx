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b05b9b19e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猎人专属卡牌" sheetId="1" r:id="R9b7fc696de854726"/>
    <x:sheet xmlns:r="http://schemas.openxmlformats.org/officeDocument/2006/relationships" name="关联衍生卡" sheetId="2" r:id="Rf3d8c5a24ca7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1"/>
      <x:color rgb="FF262C35"/>
      <x:name val="Microsoft YaHei"/>
    </x:font>
    <x:font>
      <x:b/>
      <x:sz val="16"/>
      <x:color rgb="FF315C45"/>
      <x:name val="Microsoft YaHei"/>
    </x:font>
    <x:font>
      <x:sz val="10"/>
      <x:color rgb="FF637184"/>
      <x:name val="Microsoft YaHei"/>
    </x:font>
    <x:font>
      <x:b/>
      <x:sz val="14"/>
      <x:color rgb="FF315C45"/>
      <x:name val="Microsoft YaHei"/>
    </x:font>
    <x:font>
      <x:sz val="10"/>
      <x:color rgb="FF26649B"/>
      <x:name val="Microsoft YaHei"/>
    </x:font>
    <x:font>
      <x:b/>
      <x:sz val="11"/>
      <x:color rgb="FF8B5A16"/>
      <x:name val="Microsoft YaHei"/>
    </x:font>
    <x:font>
      <x:b/>
      <x:sz val="11"/>
      <x:color rgb="FFFFFFFF"/>
      <x:name val="Microsoft YaHei"/>
    </x:font>
    <x:font>
      <x:b/>
      <x:sz val="12"/>
      <x:color rgb="FF315C45"/>
      <x:name val="Microsoft YaHei"/>
    </x:font>
    <x:font>
      <x:b/>
      <x:sz val="11"/>
      <x:color rgb="FF4B5867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6F2"/>
      </x:patternFill>
    </x:fill>
    <x:fill>
      <x:patternFill patternType="solid">
        <x:fgColor rgb="FFEBEEF2"/>
      </x:patternFill>
    </x:fill>
    <x:fill>
      <x:patternFill patternType="solid">
        <x:fgColor rgb="FFF4F5F6"/>
      </x:patternFill>
    </x:fill>
    <x:fill>
      <x:patternFill patternType="solid">
        <x:fgColor rgb="FFE9F0F9"/>
      </x:patternFill>
    </x:fill>
    <x:fill>
      <x:patternFill patternType="solid">
        <x:fgColor rgb="FFFFF0CA"/>
      </x:patternFill>
    </x:fill>
    <x:fill>
      <x:patternFill patternType="solid">
        <x:fgColor rgb="FFEEE4F5"/>
      </x:patternFill>
    </x:fill>
    <x:fill>
      <x:patternFill patternType="solid">
        <x:fgColor rgb="FF315C45"/>
      </x:patternFill>
    </x:fill>
    <x:fill>
      <x:patternFill patternType="solid">
        <x:fgColor rgb="FF315C4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15C45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0"/>
    </x:xf>
    <x:xf numFmtId="0" fontId="7" fillId="9" borderId="0" xfId="0" applyNumberFormat="1" applyFont="1" applyFill="1" applyBorder="1" applyAlignment="1">
      <x:alignment horizontal="center"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5" fillId="2" borderId="0" xfId="0" applyNumberFormat="1" applyFont="1" applyFill="1" applyBorder="1" applyAlignment="1">
      <x:alignment vertical="top" wrapText="0"/>
    </x:xf>
    <x:xf numFmtId="0" fontId="1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627409a2f4924" /><Relationship Type="http://schemas.openxmlformats.org/officeDocument/2006/relationships/theme" Target="/xl/theme/theme1.xml" Id="R7835f43181c542a6" /><Relationship Type="http://schemas.openxmlformats.org/officeDocument/2006/relationships/sharedStrings" Target="/xl/sharedStrings.xml" Id="R78c3261cc49241c2" /><Relationship Type="http://schemas.openxmlformats.org/officeDocument/2006/relationships/worksheet" Target="/xl/worksheets/sheet1.xml" Id="R9b7fc696de854726" /><Relationship Type="http://schemas.openxmlformats.org/officeDocument/2006/relationships/worksheet" Target="/xl/worksheets/sheet2.xml" Id="Rf3d8c5a24ca7406b" /></Relationships>
</file>

<file path=xl/tables/table1.xml><?xml version="1.0" encoding="utf-8"?>
<x:table xmlns:x="http://schemas.openxmlformats.org/spreadsheetml/2006/main" id="1" name="silentImplementedCards" displayName="silentImplementedCards" ref="A7:S72" headerRowCount="1" totalsRowCount="0" totalsRowShown="0">
  <x:tableColumns count="19">
    <x:tableColumn id="1" name="序号"/>
    <x:tableColumn id="2" name="中文卡名"/>
    <x:tableColumn id="3" name="英文卡名"/>
    <x:tableColumn id="4" name="类型"/>
    <x:tableColumn id="5" name="稀有度"/>
    <x:tableColumn id="6" name="基础费用"/>
    <x:tableColumn id="7" name="升级费用"/>
    <x:tableColumn id="8" name="基础效果"/>
    <x:tableColumn id="9" name="升级效果"/>
    <x:tableColumn id="10" name="基础关键词"/>
    <x:tableColumn id="11" name="升级关键词"/>
    <x:tableColumn id="12" name="适用模式"/>
    <x:tableColumn id="13" name="作用目标"/>
    <x:tableColumn id="14" name="卡牌 ID"/>
    <x:tableColumn id="15" name="资料链接"/>
    <x:tableColumn id="16" name="本游戏卡牌ID"/>
    <x:tableColumn id="17" name="本游戏骰子需求"/>
    <x:tableColumn id="18" name="本游戏效果"/>
    <x:tableColumn id="19" name="实现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lentNotIncludedCards" displayName="silentNotIncludedCards" ref="A11:E34" headerRowCount="1" totalsRowCount="0" totalsRowShown="0">
  <x:tableColumns count="5">
    <x:tableColumn id="1" name="原作卡名"/>
    <x:tableColumn id="2" name="原作卡牌ID"/>
    <x:tableColumn id="3" name="类型"/>
    <x:tableColumn id="4" name="稀有度"/>
    <x:tableColumn id="5" name="未接入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4803c042f7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797cdc41864329" /></Relationships>
</file>

<file path=xl/worksheets/sheet1.xml><?xml version="1.0" encoding="utf-8"?>
<x:worksheet xmlns:x="http://schemas.openxmlformats.org/spreadsheetml/2006/main">
  <x:sheetPr>
    <x:tabColor rgb="FF315C4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25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47" hidden="0" customWidth="1"/>
    <x:col min="9" max="9" width="47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27" hidden="0" customWidth="1"/>
    <x:col min="15" max="15" width="64" hidden="0" customWidth="1"/>
    <x:col min="16" max="16" width="15" hidden="0" customWidth="1"/>
    <x:col min="17" max="17" width="28" hidden="0" customWidth="1"/>
    <x:col min="18" max="18" width="52" hidden="0" customWidth="1"/>
    <x:col min="19" max="1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0" customHeight="1">
      <x:c r="A2" s="3" t="str">
        <x:v>猎人 → 咒术游侠：已实现卡牌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8" customHeight="1">
      <x:c r="A3" s="2" t="str">
        <x:v>原作描述保留供对照；正式游戏效果、骰子、费用和属性见右侧及 Card 表。更新：2026-10-23。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8" customHeight="1">
      <x:c r="A4" s="2" t="str">
        <x:v>主卡数量</x:v>
      </x:c>
      <x:c r="B4" s="2" t="n">
        <x:f>COUNTA(B8:B72)</x:f>
        <x:v>65</x:v>
      </x:c>
      <x:c r="C4" s="2"/>
      <x:c r="D4" s="2" t="str">
        <x:v>攻击</x:v>
      </x:c>
      <x:c r="E4" s="2" t="n">
        <x:f>COUNTIFS(D8:D72,D4)</x:f>
        <x:v>19</x:v>
      </x:c>
      <x:c r="F4" s="2" t="str">
        <x:v>技能</x:v>
      </x:c>
      <x:c r="G4" s="2" t="n">
        <x:f>COUNTIFS(D8:D72,F4)</x:f>
        <x:v>30</x:v>
      </x:c>
      <x:c r="H4" s="2"/>
      <x:c r="I4" s="2"/>
      <x:c r="J4" s="2" t="str">
        <x:v>能力</x:v>
      </x:c>
      <x:c r="K4" s="2" t="n">
        <x:f>COUNTIFS(D8:D72,J4)</x:f>
        <x:v>16</x:v>
      </x:c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 t="str">
        <x:v>共用骰子：符文30001（1/2）、盾牌30002（3/4）、斧头30003（5/6）；能力统一为Buff，星星费用独立于骰子。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8" customHeight="1">
      <x:c r="A6" s="2" t="str">
        <x:v>另有1张已实现衍生牌；未接入的23张原作牌逐张说明见第二页。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2" customHeight="1">
      <x:c r="A7" s="45" t="str">
        <x:v>序号</x:v>
      </x:c>
      <x:c r="B7" s="45" t="str">
        <x:v>中文卡名</x:v>
      </x:c>
      <x:c r="C7" s="45" t="str">
        <x:v>英文卡名</x:v>
      </x:c>
      <x:c r="D7" s="45" t="str">
        <x:v>类型</x:v>
      </x:c>
      <x:c r="E7" s="45" t="str">
        <x:v>稀有度</x:v>
      </x:c>
      <x:c r="F7" s="45" t="str">
        <x:v>基础费用</x:v>
      </x:c>
      <x:c r="G7" s="45" t="str">
        <x:v>升级费用</x:v>
      </x:c>
      <x:c r="H7" s="45" t="str">
        <x:v>基础效果</x:v>
      </x:c>
      <x:c r="I7" s="45" t="str">
        <x:v>升级效果</x:v>
      </x:c>
      <x:c r="J7" s="45" t="str">
        <x:v>基础关键词</x:v>
      </x:c>
      <x:c r="K7" s="45" t="str">
        <x:v>升级关键词</x:v>
      </x:c>
      <x:c r="L7" s="45" t="str">
        <x:v>适用模式</x:v>
      </x:c>
      <x:c r="M7" s="45" t="str">
        <x:v>作用目标</x:v>
      </x:c>
      <x:c r="N7" s="45" t="str">
        <x:v>卡牌 ID</x:v>
      </x:c>
      <x:c r="O7" s="45" t="str">
        <x:v>资料链接</x:v>
      </x:c>
      <x:c r="P7" s="45" t="str">
        <x:v>本游戏卡牌ID</x:v>
      </x:c>
      <x:c r="Q7" s="45" t="str">
        <x:v>本游戏骰子需求</x:v>
      </x:c>
      <x:c r="R7" s="45" t="str">
        <x:v>本游戏效果</x:v>
      </x:c>
      <x:c r="S7" s="45" t="str">
        <x:v>实现说明</x:v>
      </x:c>
    </x:row>
    <x:row r="8" ht="100" customHeight="1">
      <x:c r="A8" s="39" t="n">
        <x:v>77</x:v>
      </x:c>
      <x:c r="B8" s="39" t="str">
        <x:v>磨蚀</x:v>
      </x:c>
      <x:c r="C8" s="39" t="str">
        <x:v>Abrasive</x:v>
      </x:c>
      <x:c r="D8" s="39" t="str">
        <x:v>能力</x:v>
      </x:c>
      <x:c r="E8" s="39" t="str">
        <x:v>稀有</x:v>
      </x:c>
      <x:c r="F8" s="39" t="n">
        <x:v>3</x:v>
      </x:c>
      <x:c r="G8" s="39" t="n">
        <x:v>3</x:v>
      </x:c>
      <x:c r="H8" s="39" t="str">
        <x:v>获得1点敏捷。
获得4点荆棘。</x:v>
      </x:c>
      <x:c r="I8" s="39" t="str">
        <x:v>获得1点敏捷。
获得6点荆棘。</x:v>
      </x:c>
      <x:c r="J8" s="39" t="str">
        <x:v>奇巧</x:v>
      </x:c>
      <x:c r="K8" s="39" t="str">
        <x:v>奇巧</x:v>
      </x:c>
      <x:c r="L8" s="39" t="str">
        <x:v>单人 / 多人</x:v>
      </x:c>
      <x:c r="M8" s="39" t="str">
        <x:v>自身</x:v>
      </x:c>
      <x:c r="N8" s="39" t="str">
        <x:v>ABRASIVE</x:v>
      </x:c>
      <x:c r="O8" s="39" t="str">
        <x:v>https://spire-codex.com/zhs/cards/abrasive</x:v>
      </x:c>
      <x:c r="P8" s="39" t="n">
        <x:v>20176</x:v>
      </x:c>
      <x:c r="Q8" s="39" t="str">
        <x:v>[30002,30002]</x:v>
      </x:c>
      <x:c r="R8" s="39" t="str">
        <x:v>获得1点敏捷和4层荆棘。本牌具有奇巧。</x:v>
      </x:c>
      <x:c r="S8" s="39" t="str">
        <x:v>已实现；星星费用、奇巧、能力Buff和衍生牌以正式配置为准。</x:v>
      </x:c>
    </x:row>
    <x:row r="9" ht="100" customHeight="1">
      <x:c r="A9" s="39" t="n">
        <x:v>78</x:v>
      </x:c>
      <x:c r="B9" s="39" t="str">
        <x:v>触媒</x:v>
      </x:c>
      <x:c r="C9" s="39" t="str">
        <x:v>Accelerant</x:v>
      </x:c>
      <x:c r="D9" s="39" t="str">
        <x:v>能力</x:v>
      </x:c>
      <x:c r="E9" s="39" t="str">
        <x:v>稀有</x:v>
      </x:c>
      <x:c r="F9" s="39" t="n">
        <x:v>1</x:v>
      </x:c>
      <x:c r="G9" s="39" t="n">
        <x:v>1</x:v>
      </x:c>
      <x:c r="H9" s="39" t="str">
        <x:v>中毒会额外触发1次。</x:v>
      </x:c>
      <x:c r="I9" s="39" t="str">
        <x:v>中毒会额外触发2次。</x:v>
      </x:c>
      <x:c r="J9" s="39" t="str">
        <x:v>无</x:v>
      </x:c>
      <x:c r="K9" s="39" t="str">
        <x:v>无</x:v>
      </x:c>
      <x:c r="L9" s="39" t="str">
        <x:v>单人 / 多人</x:v>
      </x:c>
      <x:c r="M9" s="39" t="str">
        <x:v>自身</x:v>
      </x:c>
      <x:c r="N9" s="39" t="str">
        <x:v>ACCELERANT</x:v>
      </x:c>
      <x:c r="O9" s="39" t="str">
        <x:v>https://spire-codex.com/zhs/cards/accelerant</x:v>
      </x:c>
      <x:c r="P9" s="39" t="n">
        <x:v>20173</x:v>
      </x:c>
      <x:c r="Q9" s="39" t="str">
        <x:v>[30003]</x:v>
      </x:c>
      <x:c r="R9" s="39" t="str">
        <x:v>敌人回合开始时，中毒额外结算1次；每次结算后中毒减少1层。</x:v>
      </x:c>
      <x:c r="S9" s="39" t="str">
        <x:v>已实现；星星费用、奇巧、能力Buff和衍生牌以正式配置为准。</x:v>
      </x:c>
    </x:row>
    <x:row r="10" ht="100" customHeight="1">
      <x:c r="A10" s="39" t="n">
        <x:v>53</x:v>
      </x:c>
      <x:c r="B10" s="39" t="str">
        <x:v>精准</x:v>
      </x:c>
      <x:c r="C10" s="39" t="str">
        <x:v>Accuracy</x:v>
      </x:c>
      <x:c r="D10" s="39" t="str">
        <x:v>能力</x:v>
      </x:c>
      <x:c r="E10" s="39" t="str">
        <x:v>罕见</x:v>
      </x:c>
      <x:c r="F10" s="39" t="n">
        <x:v>1</x:v>
      </x:c>
      <x:c r="G10" s="39" t="n">
        <x:v>1</x:v>
      </x:c>
      <x:c r="H10" s="39" t="str">
        <x:v>小刀额外造成4点伤害。</x:v>
      </x:c>
      <x:c r="I10" s="39" t="str">
        <x:v>小刀额外造成6点伤害。</x:v>
      </x:c>
      <x:c r="J10" s="39" t="str">
        <x:v>无</x:v>
      </x:c>
      <x:c r="K10" s="39" t="str">
        <x:v>无</x:v>
      </x:c>
      <x:c r="L10" s="39" t="str">
        <x:v>单人 / 多人</x:v>
      </x:c>
      <x:c r="M10" s="39" t="str">
        <x:v>自身</x:v>
      </x:c>
      <x:c r="N10" s="39" t="str">
        <x:v>ACCURACY</x:v>
      </x:c>
      <x:c r="O10" s="39" t="str">
        <x:v>https://spire-codex.com/zhs/cards/accuracy</x:v>
      </x:c>
      <x:c r="P10" s="39" t="n">
        <x:v>20171</x:v>
      </x:c>
      <x:c r="Q10" s="39" t="str">
        <x:v>[30003]</x:v>
      </x:c>
      <x:c r="R10" s="39" t="str">
        <x:v>小刀额外造成4点伤害。</x:v>
      </x:c>
      <x:c r="S10" s="39" t="str">
        <x:v>已实现；星星费用、奇巧、能力Buff和衍生牌以正式配置为准。</x:v>
      </x:c>
    </x:row>
    <x:row r="11" ht="100" customHeight="1">
      <x:c r="A11" s="39" t="n">
        <x:v>35</x:v>
      </x:c>
      <x:c r="B11" s="39" t="str">
        <x:v>杂技</x:v>
      </x:c>
      <x:c r="C11" s="39" t="str">
        <x:v>Acrobatics</x:v>
      </x:c>
      <x:c r="D11" s="39" t="str">
        <x:v>技能</x:v>
      </x:c>
      <x:c r="E11" s="39" t="str">
        <x:v>罕见</x:v>
      </x:c>
      <x:c r="F11" s="39" t="n">
        <x:v>1</x:v>
      </x:c>
      <x:c r="G11" s="39" t="n">
        <x:v>1</x:v>
      </x:c>
      <x:c r="H11" s="39" t="str">
        <x:v>抽3张牌。
丢弃1张牌。</x:v>
      </x:c>
      <x:c r="I11" s="39" t="str">
        <x:v>抽4张牌。
丢弃1张牌。</x:v>
      </x:c>
      <x:c r="J11" s="39" t="str">
        <x:v>无</x:v>
      </x:c>
      <x:c r="K11" s="39" t="str">
        <x:v>无</x:v>
      </x:c>
      <x:c r="L11" s="39" t="str">
        <x:v>单人 / 多人</x:v>
      </x:c>
      <x:c r="M11" s="39" t="str">
        <x:v>自身</x:v>
      </x:c>
      <x:c r="N11" s="39" t="str">
        <x:v>ACROBATICS</x:v>
      </x:c>
      <x:c r="O11" s="39" t="str">
        <x:v>https://spire-codex.com/zhs/cards/acrobatics</x:v>
      </x:c>
      <x:c r="P11" s="39" t="n">
        <x:v>20130</x:v>
      </x:c>
      <x:c r="Q11" s="39" t="str">
        <x:v>[30001]</x:v>
      </x:c>
      <x:c r="R11" s="39" t="str">
        <x:v>抽3张牌。
丢弃1张手牌。</x:v>
      </x:c>
      <x:c r="S11" s="39" t="str">
        <x:v>已实现；星星费用、奇巧、能力Buff和衍生牌以正式配置为准。</x:v>
      </x:c>
    </x:row>
    <x:row r="12" ht="100" customHeight="1">
      <x:c r="A12" s="39" t="n">
        <x:v>66</x:v>
      </x:c>
      <x:c r="B12" s="39" t="str">
        <x:v>肾上腺素</x:v>
      </x:c>
      <x:c r="C12" s="39" t="str">
        <x:v>Adrenaline</x:v>
      </x:c>
      <x:c r="D12" s="39" t="str">
        <x:v>技能</x:v>
      </x:c>
      <x:c r="E12" s="39" t="str">
        <x:v>稀有</x:v>
      </x:c>
      <x:c r="F12" s="39" t="n">
        <x:v>0</x:v>
      </x:c>
      <x:c r="G12" s="39" t="n">
        <x:v>0</x:v>
      </x:c>
      <x:c r="H12" s="39" t="str">
        <x:v>获得1点能量。
抽2张牌。</x:v>
      </x:c>
      <x:c r="I12" s="39" t="str">
        <x:v>获得2点能量。
抽2张牌。</x:v>
      </x:c>
      <x:c r="J12" s="39" t="str">
        <x:v>消耗</x:v>
      </x:c>
      <x:c r="K12" s="39" t="str">
        <x:v>消耗</x:v>
      </x:c>
      <x:c r="L12" s="39" t="str">
        <x:v>单人 / 多人</x:v>
      </x:c>
      <x:c r="M12" s="39" t="str">
        <x:v>自身</x:v>
      </x:c>
      <x:c r="N12" s="39" t="str">
        <x:v>ADRENALINE</x:v>
      </x:c>
      <x:c r="O12" s="39" t="str">
        <x:v>https://spire-codex.com/zhs/cards/adrenaline</x:v>
      </x:c>
      <x:c r="P12" s="39" t="n">
        <x:v>20131</x:v>
      </x:c>
      <x:c r="Q12" s="39" t="str">
        <x:v>[]</x:v>
      </x:c>
      <x:c r="R12" s="39" t="str">
        <x:v>获得1点能量。
抽2张牌。
消耗。</x:v>
      </x:c>
      <x:c r="S12" s="39" t="str">
        <x:v>已实现；星星费用、奇巧、能力Buff和衍生牌以正式配置为准。</x:v>
      </x:c>
    </x:row>
    <x:row r="13" ht="100" customHeight="1">
      <x:c r="A13" s="39" t="n">
        <x:v>79</x:v>
      </x:c>
      <x:c r="B13" s="39" t="str">
        <x:v>余像</x:v>
      </x:c>
      <x:c r="C13" s="39" t="str">
        <x:v>Afterimage</x:v>
      </x:c>
      <x:c r="D13" s="39" t="str">
        <x:v>能力</x:v>
      </x:c>
      <x:c r="E13" s="39" t="str">
        <x:v>稀有</x:v>
      </x:c>
      <x:c r="F13" s="39" t="n">
        <x:v>1</x:v>
      </x:c>
      <x:c r="G13" s="39" t="n">
        <x:v>1</x:v>
      </x:c>
      <x:c r="H13" s="39" t="str">
        <x:v>你每打出一张牌，都获得1点格挡。</x:v>
      </x:c>
      <x:c r="I13" s="39" t="str">
        <x:v>你每打出一张牌，都获得1点格挡。</x:v>
      </x:c>
      <x:c r="J13" s="39" t="str">
        <x:v>无</x:v>
      </x:c>
      <x:c r="K13" s="39" t="str">
        <x:v>固有</x:v>
      </x:c>
      <x:c r="L13" s="39" t="str">
        <x:v>单人 / 多人</x:v>
      </x:c>
      <x:c r="M13" s="39" t="str">
        <x:v>自身</x:v>
      </x:c>
      <x:c r="N13" s="39" t="str">
        <x:v>AFTERIMAGE</x:v>
      </x:c>
      <x:c r="O13" s="39" t="str">
        <x:v>https://spire-codex.com/zhs/cards/afterimage</x:v>
      </x:c>
      <x:c r="P13" s="39" t="n">
        <x:v>20132</x:v>
      </x:c>
      <x:c r="Q13" s="39" t="str">
        <x:v>[30002]</x:v>
      </x:c>
      <x:c r="R13" s="39" t="str">
        <x:v>本场战斗每打出一张牌，获得1点格挡。</x:v>
      </x:c>
      <x:c r="S13" s="39" t="str">
        <x:v>已实现；星星费用、奇巧、能力Buff和衍生牌以正式配置为准。</x:v>
      </x:c>
    </x:row>
    <x:row r="14" ht="100" customHeight="1">
      <x:c r="A14" s="39" t="n">
        <x:v>14</x:v>
      </x:c>
      <x:c r="B14" s="39" t="str">
        <x:v>预判</x:v>
      </x:c>
      <x:c r="C14" s="39" t="str">
        <x:v>Anticipate</x:v>
      </x:c>
      <x:c r="D14" s="39" t="str">
        <x:v>技能</x:v>
      </x:c>
      <x:c r="E14" s="39" t="str">
        <x:v>普通</x:v>
      </x:c>
      <x:c r="F14" s="39" t="n">
        <x:v>0</x:v>
      </x:c>
      <x:c r="G14" s="39" t="n">
        <x:v>0</x:v>
      </x:c>
      <x:c r="H14" s="39" t="str">
        <x:v>在本回合获得2点敏捷。</x:v>
      </x:c>
      <x:c r="I14" s="39" t="str">
        <x:v>在本回合获得3点敏捷。</x:v>
      </x:c>
      <x:c r="J14" s="39" t="str">
        <x:v>无</x:v>
      </x:c>
      <x:c r="K14" s="39" t="str">
        <x:v>无</x:v>
      </x:c>
      <x:c r="L14" s="39" t="str">
        <x:v>单人 / 多人</x:v>
      </x:c>
      <x:c r="M14" s="39" t="str">
        <x:v>自身</x:v>
      </x:c>
      <x:c r="N14" s="39" t="str">
        <x:v>ANTICIPATE</x:v>
      </x:c>
      <x:c r="O14" s="39" t="str">
        <x:v>https://spire-codex.com/zhs/cards/anticipate</x:v>
      </x:c>
      <x:c r="P14" s="39" t="n">
        <x:v>20133</x:v>
      </x:c>
      <x:c r="Q14" s="39" t="str">
        <x:v>[]</x:v>
      </x:c>
      <x:c r="R14" s="39" t="str">
        <x:v>在本回合获得2点敏捷。</x:v>
      </x:c>
      <x:c r="S14" s="39" t="str">
        <x:v>已实现；星星费用、奇巧、能力Buff和衍生牌以正式配置为准。</x:v>
      </x:c>
    </x:row>
    <x:row r="15" ht="100" customHeight="1">
      <x:c r="A15" s="39" t="n">
        <x:v>61</x:v>
      </x:c>
      <x:c r="B15" s="39" t="str">
        <x:v>刺杀</x:v>
      </x:c>
      <x:c r="C15" s="39" t="str">
        <x:v>Assassinate</x:v>
      </x:c>
      <x:c r="D15" s="39" t="str">
        <x:v>攻击</x:v>
      </x:c>
      <x:c r="E15" s="39" t="str">
        <x:v>稀有</x:v>
      </x:c>
      <x:c r="F15" s="39" t="n">
        <x:v>0</x:v>
      </x:c>
      <x:c r="G15" s="39" t="n">
        <x:v>0</x:v>
      </x:c>
      <x:c r="H15" s="39" t="str">
        <x:v>造成10点伤害。
给予1层易伤。</x:v>
      </x:c>
      <x:c r="I15" s="39" t="str">
        <x:v>造成13点伤害。
给予2层易伤。</x:v>
      </x:c>
      <x:c r="J15" s="39" t="str">
        <x:v>消耗、固有</x:v>
      </x:c>
      <x:c r="K15" s="39" t="str">
        <x:v>消耗、固有</x:v>
      </x:c>
      <x:c r="L15" s="39" t="str">
        <x:v>单人 / 多人</x:v>
      </x:c>
      <x:c r="M15" s="39" t="str">
        <x:v>单个敌人</x:v>
      </x:c>
      <x:c r="N15" s="39" t="str">
        <x:v>ASSASSINATE</x:v>
      </x:c>
      <x:c r="O15" s="39" t="str">
        <x:v>https://spire-codex.com/zhs/cards/assassinate</x:v>
      </x:c>
      <x:c r="P15" s="39" t="n">
        <x:v>20134</x:v>
      </x:c>
      <x:c r="Q15" s="39" t="str">
        <x:v>[]</x:v>
      </x:c>
      <x:c r="R15" s="39" t="str">
        <x:v>造成10点伤害。
给予1层易伤。
固有。消耗。</x:v>
      </x:c>
      <x:c r="S15" s="39" t="str">
        <x:v>已实现；星星费用、奇巧、能力Buff和衍生牌以正式配置为准。</x:v>
      </x:c>
    </x:row>
    <x:row r="16" ht="100" customHeight="1">
      <x:c r="A16" s="39" t="n">
        <x:v>15</x:v>
      </x:c>
      <x:c r="B16" s="39" t="str">
        <x:v>后空翻</x:v>
      </x:c>
      <x:c r="C16" s="39" t="str">
        <x:v>Backflip</x:v>
      </x:c>
      <x:c r="D16" s="39" t="str">
        <x:v>技能</x:v>
      </x:c>
      <x:c r="E16" s="39" t="str">
        <x:v>普通</x:v>
      </x:c>
      <x:c r="F16" s="39" t="n">
        <x:v>1</x:v>
      </x:c>
      <x:c r="G16" s="39" t="n">
        <x:v>1</x:v>
      </x:c>
      <x:c r="H16" s="39" t="str">
        <x:v>获得5点格挡。
抽2张牌。</x:v>
      </x:c>
      <x:c r="I16" s="39" t="str">
        <x:v>获得8点格挡。
抽2张牌。</x:v>
      </x:c>
      <x:c r="J16" s="39" t="str">
        <x:v>无</x:v>
      </x:c>
      <x:c r="K16" s="39" t="str">
        <x:v>无</x:v>
      </x:c>
      <x:c r="L16" s="39" t="str">
        <x:v>单人 / 多人</x:v>
      </x:c>
      <x:c r="M16" s="39" t="str">
        <x:v>自身</x:v>
      </x:c>
      <x:c r="N16" s="39" t="str">
        <x:v>BACKFLIP</x:v>
      </x:c>
      <x:c r="O16" s="39" t="str">
        <x:v>https://spire-codex.com/zhs/cards/backflip</x:v>
      </x:c>
      <x:c r="P16" s="39" t="n">
        <x:v>20135</x:v>
      </x:c>
      <x:c r="Q16" s="39" t="str">
        <x:v>[30002]</x:v>
      </x:c>
      <x:c r="R16" s="39" t="str">
        <x:v>获得5点格挡。
抽2张牌。</x:v>
      </x:c>
      <x:c r="S16" s="39" t="str">
        <x:v>已实现；星星费用、奇巧、能力Buff和衍生牌以正式配置为准。</x:v>
      </x:c>
    </x:row>
    <x:row r="17" ht="100" customHeight="1">
      <x:c r="A17" s="39" t="n">
        <x:v>25</x:v>
      </x:c>
      <x:c r="B17" s="39" t="str">
        <x:v>背刺</x:v>
      </x:c>
      <x:c r="C17" s="39" t="str">
        <x:v>Backstab</x:v>
      </x:c>
      <x:c r="D17" s="39" t="str">
        <x:v>攻击</x:v>
      </x:c>
      <x:c r="E17" s="39" t="str">
        <x:v>罕见</x:v>
      </x:c>
      <x:c r="F17" s="39" t="n">
        <x:v>0</x:v>
      </x:c>
      <x:c r="G17" s="39" t="n">
        <x:v>0</x:v>
      </x:c>
      <x:c r="H17" s="39" t="str">
        <x:v>造成11点伤害。</x:v>
      </x:c>
      <x:c r="I17" s="39" t="str">
        <x:v>造成15点伤害。</x:v>
      </x:c>
      <x:c r="J17" s="39" t="str">
        <x:v>消耗、固有</x:v>
      </x:c>
      <x:c r="K17" s="39" t="str">
        <x:v>消耗、固有</x:v>
      </x:c>
      <x:c r="L17" s="39" t="str">
        <x:v>单人 / 多人</x:v>
      </x:c>
      <x:c r="M17" s="39" t="str">
        <x:v>单个敌人</x:v>
      </x:c>
      <x:c r="N17" s="39" t="str">
        <x:v>BACKSTAB</x:v>
      </x:c>
      <x:c r="O17" s="39" t="str">
        <x:v>https://spire-codex.com/zhs/cards/backstab</x:v>
      </x:c>
      <x:c r="P17" s="39" t="n">
        <x:v>20136</x:v>
      </x:c>
      <x:c r="Q17" s="39" t="str">
        <x:v>[]</x:v>
      </x:c>
      <x:c r="R17" s="39" t="str">
        <x:v>造成11点伤害。
固有。消耗。</x:v>
      </x:c>
      <x:c r="S17" s="39" t="str">
        <x:v>已实现；星星费用、奇巧、能力Buff和衍生牌以正式配置为准。</x:v>
      </x:c>
    </x:row>
    <x:row r="18" ht="100" customHeight="1">
      <x:c r="A18" s="39" t="n">
        <x:v>16</x:v>
      </x:c>
      <x:c r="B18" s="39" t="str">
        <x:v>刀刃之舞</x:v>
      </x:c>
      <x:c r="C18" s="39" t="str">
        <x:v>Blade Dance</x:v>
      </x:c>
      <x:c r="D18" s="39" t="str">
        <x:v>技能</x:v>
      </x:c>
      <x:c r="E18" s="39" t="str">
        <x:v>普通</x:v>
      </x:c>
      <x:c r="F18" s="39" t="n">
        <x:v>1</x:v>
      </x:c>
      <x:c r="G18" s="39" t="n">
        <x:v>1</x:v>
      </x:c>
      <x:c r="H18" s="39" t="str">
        <x:v>添加3张小刀到你的手牌。</x:v>
      </x:c>
      <x:c r="I18" s="39" t="str">
        <x:v>添加4张小刀到你的手牌。</x:v>
      </x:c>
      <x:c r="J18" s="39" t="str">
        <x:v>消耗</x:v>
      </x:c>
      <x:c r="K18" s="39" t="str">
        <x:v>消耗</x:v>
      </x:c>
      <x:c r="L18" s="39" t="str">
        <x:v>单人 / 多人</x:v>
      </x:c>
      <x:c r="M18" s="39" t="str">
        <x:v>自身</x:v>
      </x:c>
      <x:c r="N18" s="39" t="str">
        <x:v>BLADE_DANCE</x:v>
      </x:c>
      <x:c r="O18" s="39" t="str">
        <x:v>https://spire-codex.com/zhs/cards/blade_dance</x:v>
      </x:c>
      <x:c r="P18" s="39" t="n">
        <x:v>20195</x:v>
      </x:c>
      <x:c r="Q18" s="39" t="str">
        <x:v>[30001]</x:v>
      </x:c>
      <x:c r="R18" s="39" t="str">
        <x:v>生成3张小刀。消耗。</x:v>
      </x:c>
      <x:c r="S18" s="39" t="str">
        <x:v>已实现；星星费用、奇巧、能力Buff和衍生牌以正式配置为准。</x:v>
      </x:c>
    </x:row>
    <x:row r="19" ht="100" customHeight="1">
      <x:c r="A19" s="39" t="n">
        <x:v>67</x:v>
      </x:c>
      <x:c r="B19" s="39" t="str">
        <x:v>墨之刃</x:v>
      </x:c>
      <x:c r="C19" s="39" t="str">
        <x:v>Blade of Ink</x:v>
      </x:c>
      <x:c r="D19" s="39" t="str">
        <x:v>技能</x:v>
      </x:c>
      <x:c r="E19" s="39" t="str">
        <x:v>稀有</x:v>
      </x:c>
      <x:c r="F19" s="39" t="n">
        <x:v>1</x:v>
      </x:c>
      <x:c r="G19" s="39" t="n">
        <x:v>1</x:v>
      </x:c>
      <x:c r="H19" s="39" t="str">
        <x:v>添加2张墨影小刀到你的手牌。</x:v>
      </x:c>
      <x:c r="I19" s="39" t="str">
        <x:v>添加3张墨影小刀到你的手牌。</x:v>
      </x:c>
      <x:c r="J19" s="39" t="str">
        <x:v>无</x:v>
      </x:c>
      <x:c r="K19" s="39" t="str">
        <x:v>无</x:v>
      </x:c>
      <x:c r="L19" s="39" t="str">
        <x:v>单人 / 多人</x:v>
      </x:c>
      <x:c r="M19" s="39" t="str">
        <x:v>自身</x:v>
      </x:c>
      <x:c r="N19" s="39" t="str">
        <x:v>BLADE_OF_INK</x:v>
      </x:c>
      <x:c r="O19" s="39" t="str">
        <x:v>https://spire-codex.com/zhs/cards/blade_of_ink</x:v>
      </x:c>
      <x:c r="P19" s="39" t="n">
        <x:v>20198</x:v>
      </x:c>
      <x:c r="Q19" s="39" t="str">
        <x:v>[30001]</x:v>
      </x:c>
      <x:c r="R19" s="39" t="str">
        <x:v>生成2张具有奇巧的小刀：主动弃置时自动打出。</x:v>
      </x:c>
      <x:c r="S19" s="39" t="str">
        <x:v>已实现；星星费用、奇巧、能力Buff和衍生牌以正式配置为准。</x:v>
      </x:c>
    </x:row>
    <x:row r="20" ht="100" customHeight="1">
      <x:c r="A20" s="39" t="n">
        <x:v>37</x:v>
      </x:c>
      <x:c r="B20" s="39" t="str">
        <x:v>弹跳药瓶</x:v>
      </x:c>
      <x:c r="C20" s="39" t="str">
        <x:v>Bouncing Flask</x:v>
      </x:c>
      <x:c r="D20" s="39" t="str">
        <x:v>技能</x:v>
      </x:c>
      <x:c r="E20" s="39" t="str">
        <x:v>罕见</x:v>
      </x:c>
      <x:c r="F20" s="39" t="n">
        <x:v>2</x:v>
      </x:c>
      <x:c r="G20" s="39" t="n">
        <x:v>2</x:v>
      </x:c>
      <x:c r="H20" s="39" t="str">
        <x:v>随机给予敌人3层中毒3次。</x:v>
      </x:c>
      <x:c r="I20" s="39" t="str">
        <x:v>随机给予敌人3层中毒4次。</x:v>
      </x:c>
      <x:c r="J20" s="39" t="str">
        <x:v>无</x:v>
      </x:c>
      <x:c r="K20" s="39" t="str">
        <x:v>无</x:v>
      </x:c>
      <x:c r="L20" s="39" t="str">
        <x:v>单人 / 多人</x:v>
      </x:c>
      <x:c r="M20" s="39" t="str">
        <x:v>随机敌人</x:v>
      </x:c>
      <x:c r="N20" s="39" t="str">
        <x:v>BOUNCING_FLASK</x:v>
      </x:c>
      <x:c r="O20" s="39" t="str">
        <x:v>https://spire-codex.com/zhs/cards/bouncing_flask</x:v>
      </x:c>
      <x:c r="P20" s="39" t="n">
        <x:v>20137</x:v>
      </x:c>
      <x:c r="Q20" s="39" t="str">
        <x:v>[30001,30003]</x:v>
      </x:c>
      <x:c r="R20" s="39" t="str">
        <x:v>对敌人给予2层中毒3次。</x:v>
      </x:c>
      <x:c r="S20" s="39" t="str">
        <x:v>已实现；星星费用、奇巧、能力Buff和衍生牌以正式配置为准。</x:v>
      </x:c>
    </x:row>
    <x:row r="21" ht="100" customHeight="1">
      <x:c r="A21" s="39" t="n">
        <x:v>38</x:v>
      </x:c>
      <x:c r="B21" s="39" t="str">
        <x:v>咕嘟冒泡</x:v>
      </x:c>
      <x:c r="C21" s="39" t="str">
        <x:v>Bubble Bubble</x:v>
      </x:c>
      <x:c r="D21" s="39" t="str">
        <x:v>技能</x:v>
      </x:c>
      <x:c r="E21" s="39" t="str">
        <x:v>罕见</x:v>
      </x:c>
      <x:c r="F21" s="39" t="n">
        <x:v>1</x:v>
      </x:c>
      <x:c r="G21" s="39" t="n">
        <x:v>1</x:v>
      </x:c>
      <x:c r="H21" s="39" t="str">
        <x:v>如果敌方拥有中毒，则给予9层中毒。</x:v>
      </x:c>
      <x:c r="I21" s="39" t="str">
        <x:v>如果敌方拥有中毒，则给予12层中毒。</x:v>
      </x:c>
      <x:c r="J21" s="39" t="str">
        <x:v>无</x:v>
      </x:c>
      <x:c r="K21" s="39" t="str">
        <x:v>无</x:v>
      </x:c>
      <x:c r="L21" s="39" t="str">
        <x:v>单人 / 多人</x:v>
      </x:c>
      <x:c r="M21" s="39" t="str">
        <x:v>单个敌人</x:v>
      </x:c>
      <x:c r="N21" s="39" t="str">
        <x:v>BUBBLE_BUBBLE</x:v>
      </x:c>
      <x:c r="O21" s="39" t="str">
        <x:v>https://spire-codex.com/zhs/cards/bubble_bubble</x:v>
      </x:c>
      <x:c r="P21" s="39" t="n">
        <x:v>20138</x:v>
      </x:c>
      <x:c r="Q21" s="39" t="str">
        <x:v>[30003]</x:v>
      </x:c>
      <x:c r="R21" s="39" t="str">
        <x:v>如果敌人有中毒，则再给予6层中毒。</x:v>
      </x:c>
      <x:c r="S21" s="39" t="str">
        <x:v>已实现；星星费用、奇巧、能力Buff和衍生牌以正式配置为准。</x:v>
      </x:c>
    </x:row>
    <x:row r="22" ht="100" customHeight="1">
      <x:c r="A22" s="39" t="n">
        <x:v>39</x:v>
      </x:c>
      <x:c r="B22" s="39" t="str">
        <x:v>计算下注</x:v>
      </x:c>
      <x:c r="C22" s="39" t="str">
        <x:v>Calculated Gamble</x:v>
      </x:c>
      <x:c r="D22" s="39" t="str">
        <x:v>技能</x:v>
      </x:c>
      <x:c r="E22" s="39" t="str">
        <x:v>罕见</x:v>
      </x:c>
      <x:c r="F22" s="39" t="n">
        <x:v>0</x:v>
      </x:c>
      <x:c r="G22" s="39" t="n">
        <x:v>0</x:v>
      </x:c>
      <x:c r="H22" s="39" t="str">
        <x:v>丢弃你的所有手牌,
然后抽相同数量的牌。</x:v>
      </x:c>
      <x:c r="I22" s="39" t="str">
        <x:v>丢弃你的所有手牌,
然后抽相同数量的牌。</x:v>
      </x:c>
      <x:c r="J22" s="39" t="str">
        <x:v>消耗</x:v>
      </x:c>
      <x:c r="K22" s="39" t="str">
        <x:v>消耗、保留</x:v>
      </x:c>
      <x:c r="L22" s="39" t="str">
        <x:v>单人 / 多人</x:v>
      </x:c>
      <x:c r="M22" s="39" t="str">
        <x:v>自身</x:v>
      </x:c>
      <x:c r="N22" s="39" t="str">
        <x:v>CALCULATED_GAMBLE</x:v>
      </x:c>
      <x:c r="O22" s="39" t="str">
        <x:v>https://spire-codex.com/zhs/cards/calculated_gamble</x:v>
      </x:c>
      <x:c r="P22" s="39" t="n">
        <x:v>20139</x:v>
      </x:c>
      <x:c r="Q22" s="39" t="str">
        <x:v>[]</x:v>
      </x:c>
      <x:c r="R22" s="39" t="str">
        <x:v>丢弃所有手牌，然后抽等量的牌。
消耗。</x:v>
      </x:c>
      <x:c r="S22" s="39" t="str">
        <x:v>已实现；星星费用、奇巧、能力Buff和衍生牌以正式配置为准。</x:v>
      </x:c>
    </x:row>
    <x:row r="23" ht="100" customHeight="1">
      <x:c r="A23" s="39" t="n">
        <x:v>17</x:v>
      </x:c>
      <x:c r="B23" s="39" t="str">
        <x:v>斗篷与匕首</x:v>
      </x:c>
      <x:c r="C23" s="39" t="str">
        <x:v>Cloak and Dagger</x:v>
      </x:c>
      <x:c r="D23" s="39" t="str">
        <x:v>技能</x:v>
      </x:c>
      <x:c r="E23" s="39" t="str">
        <x:v>普通</x:v>
      </x:c>
      <x:c r="F23" s="39" t="n">
        <x:v>1</x:v>
      </x:c>
      <x:c r="G23" s="39" t="n">
        <x:v>1</x:v>
      </x:c>
      <x:c r="H23" s="39" t="str">
        <x:v>获得6点格挡。
将1张小刀添加到你的手牌。</x:v>
      </x:c>
      <x:c r="I23" s="39" t="str">
        <x:v>获得6点格挡。
将2张小刀添加到你的手牌。</x:v>
      </x:c>
      <x:c r="J23" s="39" t="str">
        <x:v>无</x:v>
      </x:c>
      <x:c r="K23" s="39" t="str">
        <x:v>无</x:v>
      </x:c>
      <x:c r="L23" s="39" t="str">
        <x:v>单人 / 多人</x:v>
      </x:c>
      <x:c r="M23" s="39" t="str">
        <x:v>自身</x:v>
      </x:c>
      <x:c r="N23" s="39" t="str">
        <x:v>CLOAK_AND_DAGGER</x:v>
      </x:c>
      <x:c r="O23" s="39" t="str">
        <x:v>https://spire-codex.com/zhs/cards/cloak_and_dagger</x:v>
      </x:c>
      <x:c r="P23" s="39" t="n">
        <x:v>20197</x:v>
      </x:c>
      <x:c r="Q23" s="39" t="str">
        <x:v>[30002]</x:v>
      </x:c>
      <x:c r="R23" s="39" t="str">
        <x:v>获得6点格挡。生成1张小刀。</x:v>
      </x:c>
      <x:c r="S23" s="39" t="str">
        <x:v>已实现；星星费用、奇巧、能力Buff和衍生牌以正式配置为准。</x:v>
      </x:c>
    </x:row>
    <x:row r="24" ht="100" customHeight="1">
      <x:c r="A24" s="39" t="n">
        <x:v>70</x:v>
      </x:c>
      <x:c r="B24" s="39" t="str">
        <x:v>腐蚀波</x:v>
      </x:c>
      <x:c r="C24" s="39" t="str">
        <x:v>Corrosive Wave</x:v>
      </x:c>
      <x:c r="D24" s="39" t="str">
        <x:v>技能</x:v>
      </x:c>
      <x:c r="E24" s="39" t="str">
        <x:v>稀有</x:v>
      </x:c>
      <x:c r="F24" s="39" t="n">
        <x:v>1</x:v>
      </x:c>
      <x:c r="G24" s="39" t="n">
        <x:v>1</x:v>
      </x:c>
      <x:c r="H24" s="39" t="str">
        <x:v>打出此牌后，你在本回合每抽到一张牌，就给予所有敌人2层中毒。</x:v>
      </x:c>
      <x:c r="I24" s="39" t="str">
        <x:v>打出此牌后，你在本回合每抽到一张牌，就给予所有敌人3层中毒。</x:v>
      </x:c>
      <x:c r="J24" s="39" t="str">
        <x:v>无</x:v>
      </x:c>
      <x:c r="K24" s="39" t="str">
        <x:v>无</x:v>
      </x:c>
      <x:c r="L24" s="39" t="str">
        <x:v>单人 / 多人</x:v>
      </x:c>
      <x:c r="M24" s="39" t="str">
        <x:v>自身</x:v>
      </x:c>
      <x:c r="N24" s="39" t="str">
        <x:v>CORROSIVE_WAVE</x:v>
      </x:c>
      <x:c r="O24" s="39" t="str">
        <x:v>https://spire-codex.com/zhs/cards/corrosive_wave</x:v>
      </x:c>
      <x:c r="P24" s="39" t="n">
        <x:v>20140</x:v>
      </x:c>
      <x:c r="Q24" s="39" t="str">
        <x:v>[30003]</x:v>
      </x:c>
      <x:c r="R24" s="39" t="str">
        <x:v>打出此牌后，本回合每抽到一张牌，就给予敌人2层中毒。</x:v>
      </x:c>
      <x:c r="S24" s="39" t="str">
        <x:v>已实现；星星费用、奇巧、能力Buff和衍生牌以正式配置为准。</x:v>
      </x:c>
    </x:row>
    <x:row r="25" ht="100" customHeight="1">
      <x:c r="A25" s="39" t="n">
        <x:v>5</x:v>
      </x:c>
      <x:c r="B25" s="39" t="str">
        <x:v>匕首雨</x:v>
      </x:c>
      <x:c r="C25" s="39" t="str">
        <x:v>Dagger Spray</x:v>
      </x:c>
      <x:c r="D25" s="39" t="str">
        <x:v>攻击</x:v>
      </x:c>
      <x:c r="E25" s="39" t="str">
        <x:v>普通</x:v>
      </x:c>
      <x:c r="F25" s="39" t="n">
        <x:v>1</x:v>
      </x:c>
      <x:c r="G25" s="39" t="n">
        <x:v>1</x:v>
      </x:c>
      <x:c r="H25" s="39" t="str">
        <x:v>对所有敌人造成4点伤害两次。</x:v>
      </x:c>
      <x:c r="I25" s="39" t="str">
        <x:v>对所有敌人造成6点伤害两次。</x:v>
      </x:c>
      <x:c r="J25" s="39" t="str">
        <x:v>无</x:v>
      </x:c>
      <x:c r="K25" s="39" t="str">
        <x:v>无</x:v>
      </x:c>
      <x:c r="L25" s="39" t="str">
        <x:v>单人 / 多人</x:v>
      </x:c>
      <x:c r="M25" s="39" t="str">
        <x:v>所有敌人</x:v>
      </x:c>
      <x:c r="N25" s="39" t="str">
        <x:v>DAGGER_SPRAY</x:v>
      </x:c>
      <x:c r="O25" s="39" t="str">
        <x:v>https://spire-codex.com/zhs/cards/dagger_spray</x:v>
      </x:c>
      <x:c r="P25" s="39" t="n">
        <x:v>20141</x:v>
      </x:c>
      <x:c r="Q25" s="39" t="str">
        <x:v>[30001]</x:v>
      </x:c>
      <x:c r="R25" s="39" t="str">
        <x:v>对敌人造成3点伤害2次。</x:v>
      </x:c>
      <x:c r="S25" s="39" t="str">
        <x:v>已实现；星星费用、奇巧、能力Buff和衍生牌以正式配置为准。</x:v>
      </x:c>
    </x:row>
    <x:row r="26" ht="100" customHeight="1">
      <x:c r="A26" s="39" t="n">
        <x:v>6</x:v>
      </x:c>
      <x:c r="B26" s="39" t="str">
        <x:v>投掷匕首</x:v>
      </x:c>
      <x:c r="C26" s="39" t="str">
        <x:v>Dagger Throw</x:v>
      </x:c>
      <x:c r="D26" s="39" t="str">
        <x:v>攻击</x:v>
      </x:c>
      <x:c r="E26" s="39" t="str">
        <x:v>普通</x:v>
      </x:c>
      <x:c r="F26" s="39" t="n">
        <x:v>1</x:v>
      </x:c>
      <x:c r="G26" s="39" t="n">
        <x:v>1</x:v>
      </x:c>
      <x:c r="H26" s="39" t="str">
        <x:v>造成9点伤害。
抽1张牌。
丢弃1张牌。</x:v>
      </x:c>
      <x:c r="I26" s="39" t="str">
        <x:v>造成12点伤害。
抽1张牌。
丢弃1张牌。</x:v>
      </x:c>
      <x:c r="J26" s="39" t="str">
        <x:v>无</x:v>
      </x:c>
      <x:c r="K26" s="39" t="str">
        <x:v>无</x:v>
      </x:c>
      <x:c r="L26" s="39" t="str">
        <x:v>单人 / 多人</x:v>
      </x:c>
      <x:c r="M26" s="39" t="str">
        <x:v>单个敌人</x:v>
      </x:c>
      <x:c r="N26" s="39" t="str">
        <x:v>DAGGER_THROW</x:v>
      </x:c>
      <x:c r="O26" s="39" t="str">
        <x:v>https://spire-codex.com/zhs/cards/dagger_throw</x:v>
      </x:c>
      <x:c r="P26" s="39" t="n">
        <x:v>20142</x:v>
      </x:c>
      <x:c r="Q26" s="39" t="str">
        <x:v>[30001]</x:v>
      </x:c>
      <x:c r="R26" s="39" t="str">
        <x:v>造成6点伤害。
抽1张牌。
丢弃1张手牌。</x:v>
      </x:c>
      <x:c r="S26" s="39" t="str">
        <x:v>已实现；星星费用、奇巧、能力Buff和衍生牌以正式配置为准。</x:v>
      </x:c>
    </x:row>
    <x:row r="27" ht="100" customHeight="1">
      <x:c r="A27" s="39" t="n">
        <x:v>26</x:v>
      </x:c>
      <x:c r="B27" s="39" t="str">
        <x:v>冲刺</x:v>
      </x:c>
      <x:c r="C27" s="39" t="str">
        <x:v>Dash</x:v>
      </x:c>
      <x:c r="D27" s="39" t="str">
        <x:v>攻击</x:v>
      </x:c>
      <x:c r="E27" s="39" t="str">
        <x:v>罕见</x:v>
      </x:c>
      <x:c r="F27" s="39" t="n">
        <x:v>2</x:v>
      </x:c>
      <x:c r="G27" s="39" t="n">
        <x:v>2</x:v>
      </x:c>
      <x:c r="H27" s="39" t="str">
        <x:v>获得10点格挡。
造成10点伤害。</x:v>
      </x:c>
      <x:c r="I27" s="39" t="str">
        <x:v>获得13点格挡。
造成13点伤害。</x:v>
      </x:c>
      <x:c r="J27" s="39" t="str">
        <x:v>无</x:v>
      </x:c>
      <x:c r="K27" s="39" t="str">
        <x:v>无</x:v>
      </x:c>
      <x:c r="L27" s="39" t="str">
        <x:v>单人 / 多人</x:v>
      </x:c>
      <x:c r="M27" s="39" t="str">
        <x:v>单个敌人</x:v>
      </x:c>
      <x:c r="N27" s="39" t="str">
        <x:v>DASH</x:v>
      </x:c>
      <x:c r="O27" s="39" t="str">
        <x:v>https://spire-codex.com/zhs/cards/dash</x:v>
      </x:c>
      <x:c r="P27" s="39" t="n">
        <x:v>20143</x:v>
      </x:c>
      <x:c r="Q27" s="39" t="str">
        <x:v>[30002,30003]</x:v>
      </x:c>
      <x:c r="R27" s="39" t="str">
        <x:v>获得8点格挡。
造成8点伤害。</x:v>
      </x:c>
      <x:c r="S27" s="39" t="str">
        <x:v>已实现；星星费用、奇巧、能力Buff和衍生牌以正式配置为准。</x:v>
      </x:c>
    </x:row>
    <x:row r="28" ht="100" customHeight="1">
      <x:c r="A28" s="39" t="n">
        <x:v>18</x:v>
      </x:c>
      <x:c r="B28" s="39" t="str">
        <x:v>致命毒药</x:v>
      </x:c>
      <x:c r="C28" s="39" t="str">
        <x:v>Deadly Poison</x:v>
      </x:c>
      <x:c r="D28" s="39" t="str">
        <x:v>技能</x:v>
      </x:c>
      <x:c r="E28" s="39" t="str">
        <x:v>普通</x:v>
      </x:c>
      <x:c r="F28" s="39" t="n">
        <x:v>1</x:v>
      </x:c>
      <x:c r="G28" s="39" t="n">
        <x:v>1</x:v>
      </x:c>
      <x:c r="H28" s="39" t="str">
        <x:v>给予5层中毒。</x:v>
      </x:c>
      <x:c r="I28" s="39" t="str">
        <x:v>给予7层中毒。</x:v>
      </x:c>
      <x:c r="J28" s="39" t="str">
        <x:v>无</x:v>
      </x:c>
      <x:c r="K28" s="39" t="str">
        <x:v>无</x:v>
      </x:c>
      <x:c r="L28" s="39" t="str">
        <x:v>单人 / 多人</x:v>
      </x:c>
      <x:c r="M28" s="39" t="str">
        <x:v>单个敌人</x:v>
      </x:c>
      <x:c r="N28" s="39" t="str">
        <x:v>DEADLY_POISON</x:v>
      </x:c>
      <x:c r="O28" s="39" t="str">
        <x:v>https://spire-codex.com/zhs/cards/deadly_poison</x:v>
      </x:c>
      <x:c r="P28" s="39" t="n">
        <x:v>20144</x:v>
      </x:c>
      <x:c r="Q28" s="39" t="str">
        <x:v>[30003]</x:v>
      </x:c>
      <x:c r="R28" s="39" t="str">
        <x:v>给予5层中毒。</x:v>
      </x:c>
      <x:c r="S28" s="39" t="str">
        <x:v>已实现；星星费用、奇巧、能力Buff和衍生牌以正式配置为准。</x:v>
      </x:c>
    </x:row>
    <x:row r="29" ht="100" customHeight="1">
      <x:c r="A29" s="39" t="n">
        <x:v>3</x:v>
      </x:c>
      <x:c r="B29" s="39" t="str">
        <x:v>防御</x:v>
      </x:c>
      <x:c r="C29" s="39" t="str">
        <x:v>Defend</x:v>
      </x:c>
      <x:c r="D29" s="39" t="str">
        <x:v>技能</x:v>
      </x:c>
      <x:c r="E29" s="39" t="str">
        <x:v>基础</x:v>
      </x:c>
      <x:c r="F29" s="39" t="n">
        <x:v>1</x:v>
      </x:c>
      <x:c r="G29" s="39" t="n">
        <x:v>1</x:v>
      </x:c>
      <x:c r="H29" s="39" t="str">
        <x:v>获得5点格挡。</x:v>
      </x:c>
      <x:c r="I29" s="39" t="str">
        <x:v>获得8点格挡。</x:v>
      </x:c>
      <x:c r="J29" s="39" t="str">
        <x:v>无</x:v>
      </x:c>
      <x:c r="K29" s="39" t="str">
        <x:v>无</x:v>
      </x:c>
      <x:c r="L29" s="39" t="str">
        <x:v>单人 / 多人</x:v>
      </x:c>
      <x:c r="M29" s="39" t="str">
        <x:v>自身</x:v>
      </x:c>
      <x:c r="N29" s="39" t="str">
        <x:v>DEFEND_SILENT</x:v>
      </x:c>
      <x:c r="O29" s="39" t="str">
        <x:v>https://spire-codex.com/zhs/cards/defend_silent</x:v>
      </x:c>
      <x:c r="P29" s="39" t="n">
        <x:v>20145</x:v>
      </x:c>
      <x:c r="Q29" s="39" t="str">
        <x:v>[30002]</x:v>
      </x:c>
      <x:c r="R29" s="39" t="str">
        <x:v>获得5点格挡。</x:v>
      </x:c>
      <x:c r="S29" s="39" t="str">
        <x:v>已实现；星星费用、奇巧、能力Buff和衍生牌以正式配置为准。</x:v>
      </x:c>
    </x:row>
    <x:row r="30" ht="100" customHeight="1">
      <x:c r="A30" s="39" t="n">
        <x:v>19</x:v>
      </x:c>
      <x:c r="B30" s="39" t="str">
        <x:v>偏折</x:v>
      </x:c>
      <x:c r="C30" s="39" t="str">
        <x:v>Deflect</x:v>
      </x:c>
      <x:c r="D30" s="39" t="str">
        <x:v>技能</x:v>
      </x:c>
      <x:c r="E30" s="39" t="str">
        <x:v>普通</x:v>
      </x:c>
      <x:c r="F30" s="39" t="n">
        <x:v>0</x:v>
      </x:c>
      <x:c r="G30" s="39" t="n">
        <x:v>0</x:v>
      </x:c>
      <x:c r="H30" s="39" t="str">
        <x:v>获得4点格挡。</x:v>
      </x:c>
      <x:c r="I30" s="39" t="str">
        <x:v>获得7点格挡。</x:v>
      </x:c>
      <x:c r="J30" s="39" t="str">
        <x:v>无</x:v>
      </x:c>
      <x:c r="K30" s="39" t="str">
        <x:v>无</x:v>
      </x:c>
      <x:c r="L30" s="39" t="str">
        <x:v>单人 / 多人</x:v>
      </x:c>
      <x:c r="M30" s="39" t="str">
        <x:v>自身</x:v>
      </x:c>
      <x:c r="N30" s="39" t="str">
        <x:v>DEFLECT</x:v>
      </x:c>
      <x:c r="O30" s="39" t="str">
        <x:v>https://spire-codex.com/zhs/cards/deflect</x:v>
      </x:c>
      <x:c r="P30" s="39" t="n">
        <x:v>20146</x:v>
      </x:c>
      <x:c r="Q30" s="39" t="str">
        <x:v>[]</x:v>
      </x:c>
      <x:c r="R30" s="39" t="str">
        <x:v>获得4点格挡。</x:v>
      </x:c>
      <x:c r="S30" s="39" t="str">
        <x:v>已实现；星星费用、奇巧、能力Buff和衍生牌以正式配置为准。</x:v>
      </x:c>
    </x:row>
    <x:row r="31" ht="100" customHeight="1">
      <x:c r="A31" s="39" t="n">
        <x:v>20</x:v>
      </x:c>
      <x:c r="B31" s="39" t="str">
        <x:v>闪躲翻滚</x:v>
      </x:c>
      <x:c r="C31" s="39" t="str">
        <x:v>Dodge and Roll</x:v>
      </x:c>
      <x:c r="D31" s="39" t="str">
        <x:v>技能</x:v>
      </x:c>
      <x:c r="E31" s="39" t="str">
        <x:v>普通</x:v>
      </x:c>
      <x:c r="F31" s="39" t="n">
        <x:v>1</x:v>
      </x:c>
      <x:c r="G31" s="39" t="n">
        <x:v>1</x:v>
      </x:c>
      <x:c r="H31" s="39" t="str">
        <x:v>获得4点格挡。
在下个回合，获得4点格挡。</x:v>
      </x:c>
      <x:c r="I31" s="39" t="str">
        <x:v>获得6点格挡。
在下个回合，获得6点格挡。</x:v>
      </x:c>
      <x:c r="J31" s="39" t="str">
        <x:v>无</x:v>
      </x:c>
      <x:c r="K31" s="39" t="str">
        <x:v>无</x:v>
      </x:c>
      <x:c r="L31" s="39" t="str">
        <x:v>单人 / 多人</x:v>
      </x:c>
      <x:c r="M31" s="39" t="str">
        <x:v>自身</x:v>
      </x:c>
      <x:c r="N31" s="39" t="str">
        <x:v>DODGE_AND_ROLL</x:v>
      </x:c>
      <x:c r="O31" s="39" t="str">
        <x:v>https://spire-codex.com/zhs/cards/dodge_and_roll</x:v>
      </x:c>
      <x:c r="P31" s="39" t="n">
        <x:v>20147</x:v>
      </x:c>
      <x:c r="Q31" s="39" t="str">
        <x:v>[30002]</x:v>
      </x:c>
      <x:c r="R31" s="39" t="str">
        <x:v>获得4点格挡。
下回合开始时，获得4点格挡。</x:v>
      </x:c>
      <x:c r="S31" s="39" t="str">
        <x:v>已实现；星星费用、奇巧、能力Buff和衍生牌以正式配置为准。</x:v>
      </x:c>
    </x:row>
    <x:row r="32" ht="100" customHeight="1">
      <x:c r="A32" s="39" t="n">
        <x:v>80</x:v>
      </x:c>
      <x:c r="B32" s="39" t="str">
        <x:v>涂毒</x:v>
      </x:c>
      <x:c r="C32" s="39" t="str">
        <x:v>Envenom</x:v>
      </x:c>
      <x:c r="D32" s="39" t="str">
        <x:v>能力</x:v>
      </x:c>
      <x:c r="E32" s="39" t="str">
        <x:v>稀有</x:v>
      </x:c>
      <x:c r="F32" s="39" t="n">
        <x:v>2</x:v>
      </x:c>
      <x:c r="G32" s="39" t="n">
        <x:v>2</x:v>
      </x:c>
      <x:c r="H32" s="39" t="str">
        <x:v>每有一次攻击造成未被格挡的伤害，就给予1层中毒。</x:v>
      </x:c>
      <x:c r="I32" s="39" t="str">
        <x:v>每有一次攻击造成未被格挡的伤害，就给予2层中毒。</x:v>
      </x:c>
      <x:c r="J32" s="39" t="str">
        <x:v>无</x:v>
      </x:c>
      <x:c r="K32" s="39" t="str">
        <x:v>无</x:v>
      </x:c>
      <x:c r="L32" s="39" t="str">
        <x:v>单人 / 多人</x:v>
      </x:c>
      <x:c r="M32" s="39" t="str">
        <x:v>自身</x:v>
      </x:c>
      <x:c r="N32" s="39" t="str">
        <x:v>ENVENOM</x:v>
      </x:c>
      <x:c r="O32" s="39" t="str">
        <x:v>https://spire-codex.com/zhs/cards/envenom</x:v>
      </x:c>
      <x:c r="P32" s="39" t="n">
        <x:v>20148</x:v>
      </x:c>
      <x:c r="Q32" s="39" t="str">
        <x:v>[30001,30003]</x:v>
      </x:c>
      <x:c r="R32" s="39" t="str">
        <x:v>本场战斗每当攻击对敌人造成未被格挡的伤害，给予1层中毒。</x:v>
      </x:c>
      <x:c r="S32" s="39" t="str">
        <x:v>已实现；星星费用、奇巧、能力Buff和衍生牌以正式配置为准。</x:v>
      </x:c>
    </x:row>
    <x:row r="33" ht="100" customHeight="1">
      <x:c r="A33" s="39" t="n">
        <x:v>41</x:v>
      </x:c>
      <x:c r="B33" s="39" t="str">
        <x:v>独门技术</x:v>
      </x:c>
      <x:c r="C33" s="39" t="str">
        <x:v>Expertise</x:v>
      </x:c>
      <x:c r="D33" s="39" t="str">
        <x:v>技能</x:v>
      </x:c>
      <x:c r="E33" s="39" t="str">
        <x:v>罕见</x:v>
      </x:c>
      <x:c r="F33" s="39" t="n">
        <x:v>1</x:v>
      </x:c>
      <x:c r="G33" s="39" t="n">
        <x:v>1</x:v>
      </x:c>
      <x:c r="H33" s="39" t="str">
        <x:v>抽牌直至你的手牌有6张牌。</x:v>
      </x:c>
      <x:c r="I33" s="39" t="str">
        <x:v>抽牌直至你的手牌有7张牌。</x:v>
      </x:c>
      <x:c r="J33" s="39" t="str">
        <x:v>无</x:v>
      </x:c>
      <x:c r="K33" s="39" t="str">
        <x:v>无</x:v>
      </x:c>
      <x:c r="L33" s="39" t="str">
        <x:v>单人 / 多人</x:v>
      </x:c>
      <x:c r="M33" s="39" t="str">
        <x:v>自身</x:v>
      </x:c>
      <x:c r="N33" s="39" t="str">
        <x:v>EXPERTISE</x:v>
      </x:c>
      <x:c r="O33" s="39" t="str">
        <x:v>https://spire-codex.com/zhs/cards/expertise</x:v>
      </x:c>
      <x:c r="P33" s="39" t="n">
        <x:v>20236</x:v>
      </x:c>
      <x:c r="Q33" s="39" t="str">
        <x:v>[30001]</x:v>
      </x:c>
      <x:c r="R33" s="39" t="str">
        <x:v>抽牌直到手中有6张牌。</x:v>
      </x:c>
      <x:c r="S33" s="39" t="str">
        <x:v>已实现；星星费用、奇巧、能力Buff和衍生牌以正式配置为准。</x:v>
      </x:c>
    </x:row>
    <x:row r="34" ht="100" customHeight="1">
      <x:c r="A34" s="39" t="n">
        <x:v>42</x:v>
      </x:c>
      <x:c r="B34" s="39" t="str">
        <x:v>暴露</x:v>
      </x:c>
      <x:c r="C34" s="39" t="str">
        <x:v>Expose</x:v>
      </x:c>
      <x:c r="D34" s="39" t="str">
        <x:v>技能</x:v>
      </x:c>
      <x:c r="E34" s="39" t="str">
        <x:v>罕见</x:v>
      </x:c>
      <x:c r="F34" s="39" t="n">
        <x:v>0</x:v>
      </x:c>
      <x:c r="G34" s="39" t="n">
        <x:v>0</x:v>
      </x:c>
      <x:c r="H34" s="39" t="str">
        <x:v>去除敌人身上的所有格挡值和人工制品。
并给予2层易伤。</x:v>
      </x:c>
      <x:c r="I34" s="39" t="str">
        <x:v>去除敌人身上的所有格挡值和人工制品。
并给予3层易伤。</x:v>
      </x:c>
      <x:c r="J34" s="39" t="str">
        <x:v>消耗</x:v>
      </x:c>
      <x:c r="K34" s="39" t="str">
        <x:v>消耗</x:v>
      </x:c>
      <x:c r="L34" s="39" t="str">
        <x:v>单人 / 多人</x:v>
      </x:c>
      <x:c r="M34" s="39" t="str">
        <x:v>单个敌人</x:v>
      </x:c>
      <x:c r="N34" s="39" t="str">
        <x:v>EXPOSE</x:v>
      </x:c>
      <x:c r="O34" s="39" t="str">
        <x:v>https://spire-codex.com/zhs/cards/expose</x:v>
      </x:c>
      <x:c r="P34" s="39" t="n">
        <x:v>20149</x:v>
      </x:c>
      <x:c r="Q34" s="39" t="str">
        <x:v>[]</x:v>
      </x:c>
      <x:c r="R34" s="39" t="str">
        <x:v>移除敌人的全部格挡和人工制品。
给予2层易伤。
消耗。</x:v>
      </x:c>
      <x:c r="S34" s="39" t="str">
        <x:v>已实现；星星费用、奇巧、能力Buff和衍生牌以正式配置为准。</x:v>
      </x:c>
    </x:row>
    <x:row r="35" ht="100" customHeight="1">
      <x:c r="A35" s="39" t="n">
        <x:v>27</x:v>
      </x:c>
      <x:c r="B35" s="39" t="str">
        <x:v>终结技</x:v>
      </x:c>
      <x:c r="C35" s="39" t="str">
        <x:v>Finisher</x:v>
      </x:c>
      <x:c r="D35" s="39" t="str">
        <x:v>攻击</x:v>
      </x:c>
      <x:c r="E35" s="39" t="str">
        <x:v>罕见</x:v>
      </x:c>
      <x:c r="F35" s="39" t="n">
        <x:v>1</x:v>
      </x:c>
      <x:c r="G35" s="39" t="n">
        <x:v>1</x:v>
      </x:c>
      <x:c r="H35" s="39" t="str">
        <x:v>在这个回合内每打出过一张攻击牌，就造成6点伤害一次。</x:v>
      </x:c>
      <x:c r="I35" s="39" t="str">
        <x:v>在这个回合内每打出过一张攻击牌，就造成8点伤害一次。</x:v>
      </x:c>
      <x:c r="J35" s="39" t="str">
        <x:v>无</x:v>
      </x:c>
      <x:c r="K35" s="39" t="str">
        <x:v>无</x:v>
      </x:c>
      <x:c r="L35" s="39" t="str">
        <x:v>单人 / 多人</x:v>
      </x:c>
      <x:c r="M35" s="39" t="str">
        <x:v>单个敌人</x:v>
      </x:c>
      <x:c r="N35" s="39" t="str">
        <x:v>FINISHER</x:v>
      </x:c>
      <x:c r="O35" s="39" t="str">
        <x:v>https://spire-codex.com/zhs/cards/finisher</x:v>
      </x:c>
      <x:c r="P35" s="39" t="n">
        <x:v>20150</x:v>
      </x:c>
      <x:c r="Q35" s="39" t="str">
        <x:v>[30001]</x:v>
      </x:c>
      <x:c r="R35" s="39" t="str">
        <x:v>本回合在此牌之前每打出过一张攻击牌，就对敌人造成4点伤害1次。</x:v>
      </x:c>
      <x:c r="S35" s="39" t="str">
        <x:v>已实现；星星费用、奇巧、能力Buff和衍生牌以正式配置为准。</x:v>
      </x:c>
    </x:row>
    <x:row r="36" ht="100" customHeight="1">
      <x:c r="A36" s="39" t="n">
        <x:v>28</x:v>
      </x:c>
      <x:c r="B36" s="39" t="str">
        <x:v>飞镖</x:v>
      </x:c>
      <x:c r="C36" s="39" t="str">
        <x:v>Flechettes</x:v>
      </x:c>
      <x:c r="D36" s="39" t="str">
        <x:v>攻击</x:v>
      </x:c>
      <x:c r="E36" s="39" t="str">
        <x:v>罕见</x:v>
      </x:c>
      <x:c r="F36" s="39" t="n">
        <x:v>1</x:v>
      </x:c>
      <x:c r="G36" s="39" t="n">
        <x:v>1</x:v>
      </x:c>
      <x:c r="H36" s="39" t="str">
        <x:v>手牌中每有一张技能牌，造成5点伤害。</x:v>
      </x:c>
      <x:c r="I36" s="39" t="str">
        <x:v>手牌中每有一张技能牌，造成7点伤害。</x:v>
      </x:c>
      <x:c r="J36" s="39" t="str">
        <x:v>无</x:v>
      </x:c>
      <x:c r="K36" s="39" t="str">
        <x:v>无</x:v>
      </x:c>
      <x:c r="L36" s="39" t="str">
        <x:v>单人 / 多人</x:v>
      </x:c>
      <x:c r="M36" s="39" t="str">
        <x:v>单个敌人</x:v>
      </x:c>
      <x:c r="N36" s="39" t="str">
        <x:v>FLECHETTES</x:v>
      </x:c>
      <x:c r="O36" s="39" t="str">
        <x:v>https://spire-codex.com/zhs/cards/flechettes</x:v>
      </x:c>
      <x:c r="P36" s="39" t="n">
        <x:v>20235</x:v>
      </x:c>
      <x:c r="Q36" s="39" t="str">
        <x:v>[30003]</x:v>
      </x:c>
      <x:c r="R36" s="39" t="str">
        <x:v>手中每有一张技能牌，造成5点伤害1次。</x:v>
      </x:c>
      <x:c r="S36" s="39" t="str">
        <x:v>已实现；星星费用、奇巧、能力Buff和衍生牌以正式配置为准。</x:v>
      </x:c>
    </x:row>
    <x:row r="37" ht="100" customHeight="1">
      <x:c r="A37" s="39" t="n">
        <x:v>7</x:v>
      </x:c>
      <x:c r="B37" s="39" t="str">
        <x:v>翻越撑击</x:v>
      </x:c>
      <x:c r="C37" s="39" t="str">
        <x:v>Flick-Flack</x:v>
      </x:c>
      <x:c r="D37" s="39" t="str">
        <x:v>攻击</x:v>
      </x:c>
      <x:c r="E37" s="39" t="str">
        <x:v>普通</x:v>
      </x:c>
      <x:c r="F37" s="39" t="n">
        <x:v>1</x:v>
      </x:c>
      <x:c r="G37" s="39" t="n">
        <x:v>1</x:v>
      </x:c>
      <x:c r="H37" s="39" t="str">
        <x:v>对所有敌人造成6点伤害。</x:v>
      </x:c>
      <x:c r="I37" s="39" t="str">
        <x:v>对所有敌人造成8点伤害。</x:v>
      </x:c>
      <x:c r="J37" s="39" t="str">
        <x:v>奇巧</x:v>
      </x:c>
      <x:c r="K37" s="39" t="str">
        <x:v>奇巧</x:v>
      </x:c>
      <x:c r="L37" s="39" t="str">
        <x:v>单人 / 多人</x:v>
      </x:c>
      <x:c r="M37" s="39" t="str">
        <x:v>所有敌人</x:v>
      </x:c>
      <x:c r="N37" s="39" t="str">
        <x:v>FLICK_FLACK</x:v>
      </x:c>
      <x:c r="O37" s="39" t="str">
        <x:v>https://spire-codex.com/zhs/cards/flick_flack</x:v>
      </x:c>
      <x:c r="P37" s="39" t="n">
        <x:v>20203</x:v>
      </x:c>
      <x:c r="Q37" s="39" t="str">
        <x:v>[30003]</x:v>
      </x:c>
      <x:c r="R37" s="39" t="str">
        <x:v>对敌人造成6点伤害。奇巧。</x:v>
      </x:c>
      <x:c r="S37" s="39" t="str">
        <x:v>已实现；星星费用、奇巧、能力Buff和衍生牌以正式配置为准。</x:v>
      </x:c>
    </x:row>
    <x:row r="38" ht="100" customHeight="1">
      <x:c r="A38" s="39" t="n">
        <x:v>54</x:v>
      </x:c>
      <x:c r="B38" s="39" t="str">
        <x:v>灵动步法</x:v>
      </x:c>
      <x:c r="C38" s="39" t="str">
        <x:v>Footwork</x:v>
      </x:c>
      <x:c r="D38" s="39" t="str">
        <x:v>能力</x:v>
      </x:c>
      <x:c r="E38" s="39" t="str">
        <x:v>罕见</x:v>
      </x:c>
      <x:c r="F38" s="39" t="n">
        <x:v>1</x:v>
      </x:c>
      <x:c r="G38" s="39" t="n">
        <x:v>1</x:v>
      </x:c>
      <x:c r="H38" s="39" t="str">
        <x:v>获得2点敏捷。</x:v>
      </x:c>
      <x:c r="I38" s="39" t="str">
        <x:v>获得3点敏捷。</x:v>
      </x:c>
      <x:c r="J38" s="39" t="str">
        <x:v>无</x:v>
      </x:c>
      <x:c r="K38" s="39" t="str">
        <x:v>无</x:v>
      </x:c>
      <x:c r="L38" s="39" t="str">
        <x:v>单人 / 多人</x:v>
      </x:c>
      <x:c r="M38" s="39" t="str">
        <x:v>自身</x:v>
      </x:c>
      <x:c r="N38" s="39" t="str">
        <x:v>FOOTWORK</x:v>
      </x:c>
      <x:c r="O38" s="39" t="str">
        <x:v>https://spire-codex.com/zhs/cards/footwork</x:v>
      </x:c>
      <x:c r="P38" s="39" t="n">
        <x:v>20151</x:v>
      </x:c>
      <x:c r="Q38" s="39" t="str">
        <x:v>[30002]</x:v>
      </x:c>
      <x:c r="R38" s="39" t="str">
        <x:v>获得2点本场战斗持续的敏捷。</x:v>
      </x:c>
      <x:c r="S38" s="39" t="str">
        <x:v>已实现；星星费用、奇巧、能力Buff和衍生牌以正式配置为准。</x:v>
      </x:c>
    </x:row>
    <x:row r="39" ht="100" customHeight="1">
      <x:c r="A39" s="39" t="n">
        <x:v>45</x:v>
      </x:c>
      <x:c r="B39" s="39" t="str">
        <x:v>迷雾</x:v>
      </x:c>
      <x:c r="C39" s="39" t="str">
        <x:v>Haze</x:v>
      </x:c>
      <x:c r="D39" s="39" t="str">
        <x:v>技能</x:v>
      </x:c>
      <x:c r="E39" s="39" t="str">
        <x:v>罕见</x:v>
      </x:c>
      <x:c r="F39" s="39" t="n">
        <x:v>3</x:v>
      </x:c>
      <x:c r="G39" s="39" t="n">
        <x:v>3</x:v>
      </x:c>
      <x:c r="H39" s="39" t="str">
        <x:v>给予所有敌人4层中毒。</x:v>
      </x:c>
      <x:c r="I39" s="39" t="str">
        <x:v>给予所有敌人6层中毒。</x:v>
      </x:c>
      <x:c r="J39" s="39" t="str">
        <x:v>奇巧</x:v>
      </x:c>
      <x:c r="K39" s="39" t="str">
        <x:v>奇巧</x:v>
      </x:c>
      <x:c r="L39" s="39" t="str">
        <x:v>单人 / 多人</x:v>
      </x:c>
      <x:c r="M39" s="39" t="str">
        <x:v>所有敌人</x:v>
      </x:c>
      <x:c r="N39" s="39" t="str">
        <x:v>HAZE</x:v>
      </x:c>
      <x:c r="O39" s="39" t="str">
        <x:v>https://spire-codex.com/zhs/cards/haze</x:v>
      </x:c>
      <x:c r="P39" s="39" t="n">
        <x:v>20205</x:v>
      </x:c>
      <x:c r="Q39" s="39" t="str">
        <x:v>[30001,30001]</x:v>
      </x:c>
      <x:c r="R39" s="39" t="str">
        <x:v>给予4层中毒。奇巧。</x:v>
      </x:c>
      <x:c r="S39" s="39" t="str">
        <x:v>已实现；星星费用、奇巧、能力Buff和衍生牌以正式配置为准。</x:v>
      </x:c>
    </x:row>
    <x:row r="40" ht="100" customHeight="1">
      <x:c r="A40" s="39" t="n">
        <x:v>46</x:v>
      </x:c>
      <x:c r="B40" s="39" t="str">
        <x:v>隐秘匕首</x:v>
      </x:c>
      <x:c r="C40" s="39" t="str">
        <x:v>Hidden Daggers</x:v>
      </x:c>
      <x:c r="D40" s="39" t="str">
        <x:v>技能</x:v>
      </x:c>
      <x:c r="E40" s="39" t="str">
        <x:v>罕见</x:v>
      </x:c>
      <x:c r="F40" s="39" t="n">
        <x:v>0</x:v>
      </x:c>
      <x:c r="G40" s="39" t="n">
        <x:v>0</x:v>
      </x:c>
      <x:c r="H40" s="39" t="str">
        <x:v>丢弃2张牌。
将2张小刀加入你的手牌。</x:v>
      </x:c>
      <x:c r="I40" s="39" t="str">
        <x:v>丢弃2张牌。
将2张小刀+加入你的手牌。</x:v>
      </x:c>
      <x:c r="J40" s="39" t="str">
        <x:v>无</x:v>
      </x:c>
      <x:c r="K40" s="39" t="str">
        <x:v>无</x:v>
      </x:c>
      <x:c r="L40" s="39" t="str">
        <x:v>单人 / 多人</x:v>
      </x:c>
      <x:c r="M40" s="39" t="str">
        <x:v>自身</x:v>
      </x:c>
      <x:c r="N40" s="39" t="str">
        <x:v>HIDDEN_DAGGERS</x:v>
      </x:c>
      <x:c r="O40" s="39" t="str">
        <x:v>https://spire-codex.com/zhs/cards/hidden_daggers</x:v>
      </x:c>
      <x:c r="P40" s="39" t="n">
        <x:v>20199</x:v>
      </x:c>
      <x:c r="Q40" s="39" t="str">
        <x:v>[]</x:v>
      </x:c>
      <x:c r="R40" s="39" t="str">
        <x:v>丢弃2张手牌，然后生成2张小刀。</x:v>
      </x:c>
      <x:c r="S40" s="39" t="str">
        <x:v>已实现；星星费用、奇巧、能力Buff和衍生牌以正式配置为准。</x:v>
      </x:c>
    </x:row>
    <x:row r="41" ht="100" customHeight="1">
      <x:c r="A41" s="39" t="n">
        <x:v>55</x:v>
      </x:c>
      <x:c r="B41" s="39" t="str">
        <x:v>无尽刀刃</x:v>
      </x:c>
      <x:c r="C41" s="39" t="str">
        <x:v>Infinite Blades</x:v>
      </x:c>
      <x:c r="D41" s="39" t="str">
        <x:v>能力</x:v>
      </x:c>
      <x:c r="E41" s="39" t="str">
        <x:v>罕见</x:v>
      </x:c>
      <x:c r="F41" s="39" t="n">
        <x:v>1</x:v>
      </x:c>
      <x:c r="G41" s="39" t="n">
        <x:v>1</x:v>
      </x:c>
      <x:c r="H41" s="39" t="str">
        <x:v>在你的回合开始时，在你的手牌中加入1张小刀。</x:v>
      </x:c>
      <x:c r="I41" s="39" t="str">
        <x:v>在你的回合开始时，在你的手牌中加入1张小刀。</x:v>
      </x:c>
      <x:c r="J41" s="39" t="str">
        <x:v>无</x:v>
      </x:c>
      <x:c r="K41" s="39" t="str">
        <x:v>固有</x:v>
      </x:c>
      <x:c r="L41" s="39" t="str">
        <x:v>单人 / 多人</x:v>
      </x:c>
      <x:c r="M41" s="39" t="str">
        <x:v>自身</x:v>
      </x:c>
      <x:c r="N41" s="39" t="str">
        <x:v>INFINITE_BLADES</x:v>
      </x:c>
      <x:c r="O41" s="39" t="str">
        <x:v>https://spire-codex.com/zhs/cards/infinite_blades</x:v>
      </x:c>
      <x:c r="P41" s="39" t="n">
        <x:v>20170</x:v>
      </x:c>
      <x:c r="Q41" s="39" t="str">
        <x:v>[30001]</x:v>
      </x:c>
      <x:c r="R41" s="39" t="str">
        <x:v>每回合补足基础手牌后，生成1张小刀。</x:v>
      </x:c>
      <x:c r="S41" s="39" t="str">
        <x:v>已实现；星星费用、奇巧、能力Buff和衍生牌以正式配置为准。</x:v>
      </x:c>
    </x:row>
    <x:row r="42" ht="100" customHeight="1">
      <x:c r="A42" s="39" t="n">
        <x:v>8</x:v>
      </x:c>
      <x:c r="B42" s="39" t="str">
        <x:v>先制打击</x:v>
      </x:c>
      <x:c r="C42" s="39" t="str">
        <x:v>Leading Strike</x:v>
      </x:c>
      <x:c r="D42" s="39" t="str">
        <x:v>攻击</x:v>
      </x:c>
      <x:c r="E42" s="39" t="str">
        <x:v>普通</x:v>
      </x:c>
      <x:c r="F42" s="39" t="n">
        <x:v>1</x:v>
      </x:c>
      <x:c r="G42" s="39" t="n">
        <x:v>1</x:v>
      </x:c>
      <x:c r="H42" s="39" t="str">
        <x:v>造成3点伤害。
将2张小刀加入你的手牌。</x:v>
      </x:c>
      <x:c r="I42" s="39" t="str">
        <x:v>造成6点伤害。
将2张小刀加入你的手牌。</x:v>
      </x:c>
      <x:c r="J42" s="39" t="str">
        <x:v>无</x:v>
      </x:c>
      <x:c r="K42" s="39" t="str">
        <x:v>无</x:v>
      </x:c>
      <x:c r="L42" s="39" t="str">
        <x:v>单人 / 多人</x:v>
      </x:c>
      <x:c r="M42" s="39" t="str">
        <x:v>单个敌人</x:v>
      </x:c>
      <x:c r="N42" s="39" t="str">
        <x:v>LEADING_STRIKE</x:v>
      </x:c>
      <x:c r="O42" s="39" t="str">
        <x:v>https://spire-codex.com/zhs/cards/leading_strike</x:v>
      </x:c>
      <x:c r="P42" s="39" t="n">
        <x:v>20196</x:v>
      </x:c>
      <x:c r="Q42" s="39" t="str">
        <x:v>[30003]</x:v>
      </x:c>
      <x:c r="R42" s="39" t="str">
        <x:v>造成3点伤害。生成2张小刀。</x:v>
      </x:c>
      <x:c r="S42" s="39" t="str">
        <x:v>已实现；星星费用、奇巧、能力Buff和衍生牌以正式配置为准。</x:v>
      </x:c>
    </x:row>
    <x:row r="43" ht="100" customHeight="1">
      <x:c r="A43" s="39" t="n">
        <x:v>47</x:v>
      </x:c>
      <x:c r="B43" s="39" t="str">
        <x:v>扫腿</x:v>
      </x:c>
      <x:c r="C43" s="39" t="str">
        <x:v>Leg Sweep</x:v>
      </x:c>
      <x:c r="D43" s="39" t="str">
        <x:v>技能</x:v>
      </x:c>
      <x:c r="E43" s="39" t="str">
        <x:v>罕见</x:v>
      </x:c>
      <x:c r="F43" s="39" t="n">
        <x:v>2</x:v>
      </x:c>
      <x:c r="G43" s="39" t="n">
        <x:v>2</x:v>
      </x:c>
      <x:c r="H43" s="39" t="str">
        <x:v>给予2层虚弱。
获得11点格挡。</x:v>
      </x:c>
      <x:c r="I43" s="39" t="str">
        <x:v>给予3层虚弱。
获得14点格挡。</x:v>
      </x:c>
      <x:c r="J43" s="39" t="str">
        <x:v>无</x:v>
      </x:c>
      <x:c r="K43" s="39" t="str">
        <x:v>无</x:v>
      </x:c>
      <x:c r="L43" s="39" t="str">
        <x:v>单人 / 多人</x:v>
      </x:c>
      <x:c r="M43" s="39" t="str">
        <x:v>单个敌人</x:v>
      </x:c>
      <x:c r="N43" s="39" t="str">
        <x:v>LEG_SWEEP</x:v>
      </x:c>
      <x:c r="O43" s="39" t="str">
        <x:v>https://spire-codex.com/zhs/cards/leg_sweep</x:v>
      </x:c>
      <x:c r="P43" s="39" t="n">
        <x:v>20152</x:v>
      </x:c>
      <x:c r="Q43" s="39" t="str">
        <x:v>[30002,30002]</x:v>
      </x:c>
      <x:c r="R43" s="39" t="str">
        <x:v>给予2层虚弱。
获得11点格挡。</x:v>
      </x:c>
      <x:c r="S43" s="39" t="str">
        <x:v>已实现；星星费用、奇巧、能力Buff和衍生牌以正式配置为准。</x:v>
      </x:c>
    </x:row>
    <x:row r="44" ht="100" customHeight="1">
      <x:c r="A44" s="39" t="n">
        <x:v>82</x:v>
      </x:c>
      <x:c r="B44" s="39" t="str">
        <x:v>谋划专家</x:v>
      </x:c>
      <x:c r="C44" s="39" t="str">
        <x:v>Master Planner</x:v>
      </x:c>
      <x:c r="D44" s="39" t="str">
        <x:v>能力</x:v>
      </x:c>
      <x:c r="E44" s="39" t="str">
        <x:v>稀有</x:v>
      </x:c>
      <x:c r="F44" s="39" t="n">
        <x:v>2</x:v>
      </x:c>
      <x:c r="G44" s="39" t="n">
        <x:v>1</x:v>
      </x:c>
      <x:c r="H44" s="39" t="str">
        <x:v>当你打出技能牌时，该牌获得奇巧。</x:v>
      </x:c>
      <x:c r="I44" s="39" t="str">
        <x:v>当你打出技能牌时，该牌获得奇巧。</x:v>
      </x:c>
      <x:c r="J44" s="39" t="str">
        <x:v>无</x:v>
      </x:c>
      <x:c r="K44" s="39" t="str">
        <x:v>无</x:v>
      </x:c>
      <x:c r="L44" s="39" t="str">
        <x:v>单人 / 多人</x:v>
      </x:c>
      <x:c r="M44" s="39" t="str">
        <x:v>自身</x:v>
      </x:c>
      <x:c r="N44" s="39" t="str">
        <x:v>MASTER_PLANNER</x:v>
      </x:c>
      <x:c r="O44" s="39" t="str">
        <x:v>https://spire-codex.com/zhs/cards/master_planner</x:v>
      </x:c>
      <x:c r="P44" s="39" t="n">
        <x:v>20174</x:v>
      </x:c>
      <x:c r="Q44" s="39" t="str">
        <x:v>[30001,30001]</x:v>
      </x:c>
      <x:c r="R44" s="39" t="str">
        <x:v>你打出的技能牌在本场战斗获得奇巧：主动弃置时自动打出；回合末清理不触发。</x:v>
      </x:c>
      <x:c r="S44" s="39" t="str">
        <x:v>已实现；星星费用、奇巧、能力Buff和衍生牌以正式配置为准。</x:v>
      </x:c>
    </x:row>
    <x:row r="45" ht="100" customHeight="1">
      <x:c r="A45" s="39" t="n">
        <x:v>29</x:v>
      </x:c>
      <x:c r="B45" s="39" t="str">
        <x:v>铭记死亡</x:v>
      </x:c>
      <x:c r="C45" s="39" t="str">
        <x:v>Memento Mori</x:v>
      </x:c>
      <x:c r="D45" s="39" t="str">
        <x:v>攻击</x:v>
      </x:c>
      <x:c r="E45" s="39" t="str">
        <x:v>罕见</x:v>
      </x:c>
      <x:c r="F45" s="39" t="n">
        <x:v>1</x:v>
      </x:c>
      <x:c r="G45" s="39" t="n">
        <x:v>1</x:v>
      </x:c>
      <x:c r="H45" s="39" t="str">
        <x:v>造成9点伤害。
本回合每丢弃过一张牌，则增加4点额外伤害。</x:v>
      </x:c>
      <x:c r="I45" s="39" t="str">
        <x:v>造成11点伤害。
本回合每丢弃过一张牌，则增加5点额外伤害。</x:v>
      </x:c>
      <x:c r="J45" s="39" t="str">
        <x:v>无</x:v>
      </x:c>
      <x:c r="K45" s="39" t="str">
        <x:v>无</x:v>
      </x:c>
      <x:c r="L45" s="39" t="str">
        <x:v>单人 / 多人</x:v>
      </x:c>
      <x:c r="M45" s="39" t="str">
        <x:v>单个敌人</x:v>
      </x:c>
      <x:c r="N45" s="39" t="str">
        <x:v>MEMENTO_MORI</x:v>
      </x:c>
      <x:c r="O45" s="39" t="str">
        <x:v>https://spire-codex.com/zhs/cards/memento_mori</x:v>
      </x:c>
      <x:c r="P45" s="39" t="n">
        <x:v>20232</x:v>
      </x:c>
      <x:c r="Q45" s="39" t="str">
        <x:v>[30003]</x:v>
      </x:c>
      <x:c r="R45" s="39" t="str">
        <x:v>造成9点伤害；本回合每主动弃置过1张牌，额外造成4点伤害。</x:v>
      </x:c>
      <x:c r="S45" s="39" t="str">
        <x:v>已实现；星星费用、奇巧、能力Buff和衍生牌以正式配置为准。</x:v>
      </x:c>
    </x:row>
    <x:row r="46" ht="100" customHeight="1">
      <x:c r="A46" s="39" t="n">
        <x:v>48</x:v>
      </x:c>
      <x:c r="B46" s="39" t="str">
        <x:v>蜃景</x:v>
      </x:c>
      <x:c r="C46" s="39" t="str">
        <x:v>Mirage</x:v>
      </x:c>
      <x:c r="D46" s="39" t="str">
        <x:v>技能</x:v>
      </x:c>
      <x:c r="E46" s="39" t="str">
        <x:v>罕见</x:v>
      </x:c>
      <x:c r="F46" s="39" t="n">
        <x:v>1</x:v>
      </x:c>
      <x:c r="G46" s="39" t="n">
        <x:v>0</x:v>
      </x:c>
      <x:c r="H46" s="39" t="str">
        <x:v>获得等同于所有敌人中毒层数的格挡。</x:v>
      </x:c>
      <x:c r="I46" s="39" t="str">
        <x:v>获得等同于所有敌人中毒层数的格挡。</x:v>
      </x:c>
      <x:c r="J46" s="39" t="str">
        <x:v>消耗</x:v>
      </x:c>
      <x:c r="K46" s="39" t="str">
        <x:v>消耗</x:v>
      </x:c>
      <x:c r="L46" s="39" t="str">
        <x:v>单人 / 多人</x:v>
      </x:c>
      <x:c r="M46" s="39" t="str">
        <x:v>自身</x:v>
      </x:c>
      <x:c r="N46" s="39" t="str">
        <x:v>MIRAGE</x:v>
      </x:c>
      <x:c r="O46" s="39" t="str">
        <x:v>https://spire-codex.com/zhs/cards/mirage</x:v>
      </x:c>
      <x:c r="P46" s="39" t="n">
        <x:v>20153</x:v>
      </x:c>
      <x:c r="Q46" s="39" t="str">
        <x:v>[30002]</x:v>
      </x:c>
      <x:c r="R46" s="39" t="str">
        <x:v>获得等同于敌人中毒层数的格挡。
消耗。</x:v>
      </x:c>
      <x:c r="S46" s="39" t="str">
        <x:v>已实现；星星费用、奇巧、能力Buff和衍生牌以正式配置为准。</x:v>
      </x:c>
    </x:row>
    <x:row r="47" ht="100" customHeight="1">
      <x:c r="A47" s="39" t="n">
        <x:v>64</x:v>
      </x:c>
      <x:c r="B47" s="39" t="str">
        <x:v>谋杀</x:v>
      </x:c>
      <x:c r="C47" s="39" t="str">
        <x:v>Murder</x:v>
      </x:c>
      <x:c r="D47" s="39" t="str">
        <x:v>攻击</x:v>
      </x:c>
      <x:c r="E47" s="39" t="str">
        <x:v>稀有</x:v>
      </x:c>
      <x:c r="F47" s="39" t="n">
        <x:v>3</x:v>
      </x:c>
      <x:c r="G47" s="39" t="n">
        <x:v>2</x:v>
      </x:c>
      <x:c r="H47" s="39" t="str">
        <x:v>造成1点伤害。
你在本场战斗中每抽过一张牌，此牌就额外造成1点伤害。</x:v>
      </x:c>
      <x:c r="I47" s="39" t="str">
        <x:v>造成1点伤害。
你在本场战斗中每抽过一张牌，此牌就额外造成1点伤害。</x:v>
      </x:c>
      <x:c r="J47" s="39" t="str">
        <x:v>无</x:v>
      </x:c>
      <x:c r="K47" s="39" t="str">
        <x:v>无</x:v>
      </x:c>
      <x:c r="L47" s="39" t="str">
        <x:v>单人 / 多人</x:v>
      </x:c>
      <x:c r="M47" s="39" t="str">
        <x:v>单个敌人</x:v>
      </x:c>
      <x:c r="N47" s="39" t="str">
        <x:v>MURDER</x:v>
      </x:c>
      <x:c r="O47" s="39" t="str">
        <x:v>https://spire-codex.com/zhs/cards/murder</x:v>
      </x:c>
      <x:c r="P47" s="39" t="n">
        <x:v>20233</x:v>
      </x:c>
      <x:c r="Q47" s="39" t="str">
        <x:v>[30003,30003,30003]</x:v>
      </x:c>
      <x:c r="R47" s="39" t="str">
        <x:v>造成1点伤害；本场每抽过1张牌，额外造成1点伤害。</x:v>
      </x:c>
      <x:c r="S47" s="39" t="str">
        <x:v>已实现；星星费用、奇巧、能力Buff和衍生牌以正式配置为准。</x:v>
      </x:c>
    </x:row>
    <x:row r="48" ht="100" customHeight="1">
      <x:c r="A48" s="39" t="n">
        <x:v>1</x:v>
      </x:c>
      <x:c r="B48" s="39" t="str">
        <x:v>中和</x:v>
      </x:c>
      <x:c r="C48" s="39" t="str">
        <x:v>Neutralize</x:v>
      </x:c>
      <x:c r="D48" s="39" t="str">
        <x:v>攻击</x:v>
      </x:c>
      <x:c r="E48" s="39" t="str">
        <x:v>基础</x:v>
      </x:c>
      <x:c r="F48" s="39" t="n">
        <x:v>0</x:v>
      </x:c>
      <x:c r="G48" s="39" t="n">
        <x:v>0</x:v>
      </x:c>
      <x:c r="H48" s="39" t="str">
        <x:v>造成3点伤害。
给予1层虚弱。</x:v>
      </x:c>
      <x:c r="I48" s="39" t="str">
        <x:v>造成4点伤害。
给予2层虚弱。</x:v>
      </x:c>
      <x:c r="J48" s="39" t="str">
        <x:v>无</x:v>
      </x:c>
      <x:c r="K48" s="39" t="str">
        <x:v>无</x:v>
      </x:c>
      <x:c r="L48" s="39" t="str">
        <x:v>单人 / 多人</x:v>
      </x:c>
      <x:c r="M48" s="39" t="str">
        <x:v>单个敌人</x:v>
      </x:c>
      <x:c r="N48" s="39" t="str">
        <x:v>NEUTRALIZE</x:v>
      </x:c>
      <x:c r="O48" s="39" t="str">
        <x:v>https://spire-codex.com/zhs/cards/neutralize</x:v>
      </x:c>
      <x:c r="P48" s="39" t="n">
        <x:v>20154</x:v>
      </x:c>
      <x:c r="Q48" s="39" t="str">
        <x:v>[]</x:v>
      </x:c>
      <x:c r="R48" s="39" t="str">
        <x:v>造成3点伤害。
给予1层虚弱。</x:v>
      </x:c>
      <x:c r="S48" s="39" t="str">
        <x:v>已实现；星星费用、奇巧、能力Buff和衍生牌以正式配置为准。</x:v>
      </x:c>
    </x:row>
    <x:row r="49" ht="100" customHeight="1">
      <x:c r="A49" s="39" t="n">
        <x:v>56</x:v>
      </x:c>
      <x:c r="B49" s="39" t="str">
        <x:v>毒雾</x:v>
      </x:c>
      <x:c r="C49" s="39" t="str">
        <x:v>Noxious Fumes</x:v>
      </x:c>
      <x:c r="D49" s="39" t="str">
        <x:v>能力</x:v>
      </x:c>
      <x:c r="E49" s="39" t="str">
        <x:v>罕见</x:v>
      </x:c>
      <x:c r="F49" s="39" t="n">
        <x:v>1</x:v>
      </x:c>
      <x:c r="G49" s="39" t="n">
        <x:v>1</x:v>
      </x:c>
      <x:c r="H49" s="39" t="str">
        <x:v>在你的回合开始时，给予所有敌人2层中毒。</x:v>
      </x:c>
      <x:c r="I49" s="39" t="str">
        <x:v>在你的回合开始时，给予所有敌人3层中毒。</x:v>
      </x:c>
      <x:c r="J49" s="39" t="str">
        <x:v>无</x:v>
      </x:c>
      <x:c r="K49" s="39" t="str">
        <x:v>无</x:v>
      </x:c>
      <x:c r="L49" s="39" t="str">
        <x:v>单人 / 多人</x:v>
      </x:c>
      <x:c r="M49" s="39" t="str">
        <x:v>自身</x:v>
      </x:c>
      <x:c r="N49" s="39" t="str">
        <x:v>NOXIOUS_FUMES</x:v>
      </x:c>
      <x:c r="O49" s="39" t="str">
        <x:v>https://spire-codex.com/zhs/cards/noxious_fumes</x:v>
      </x:c>
      <x:c r="P49" s="39" t="n">
        <x:v>20155</x:v>
      </x:c>
      <x:c r="Q49" s="39" t="str">
        <x:v>[30003]</x:v>
      </x:c>
      <x:c r="R49" s="39" t="str">
        <x:v>在你的回合开始时，给予敌人2层中毒。</x:v>
      </x:c>
      <x:c r="S49" s="39" t="str">
        <x:v>已实现；星星费用、奇巧、能力Buff和衍生牌以正式配置为准。</x:v>
      </x:c>
    </x:row>
    <x:row r="50" ht="100" customHeight="1">
      <x:c r="A50" s="39" t="n">
        <x:v>57</x:v>
      </x:c>
      <x:c r="B50" s="39" t="str">
        <x:v>毒性爆发</x:v>
      </x:c>
      <x:c r="C50" s="39" t="str">
        <x:v>Outbreak</x:v>
      </x:c>
      <x:c r="D50" s="39" t="str">
        <x:v>能力</x:v>
      </x:c>
      <x:c r="E50" s="39" t="str">
        <x:v>罕见</x:v>
      </x:c>
      <x:c r="F50" s="39" t="n">
        <x:v>1</x:v>
      </x:c>
      <x:c r="G50" s="39" t="n">
        <x:v>1</x:v>
      </x:c>
      <x:c r="H50" s="39" t="str">
        <x:v>每当你给予3次中毒，就对所有敌人造成11点伤害。</x:v>
      </x:c>
      <x:c r="I50" s="39" t="str">
        <x:v>每当你给予3次中毒，就对所有敌人造成15点伤害。</x:v>
      </x:c>
      <x:c r="J50" s="39" t="str">
        <x:v>无</x:v>
      </x:c>
      <x:c r="K50" s="39" t="str">
        <x:v>无</x:v>
      </x:c>
      <x:c r="L50" s="39" t="str">
        <x:v>单人 / 多人</x:v>
      </x:c>
      <x:c r="M50" s="39" t="str">
        <x:v>自身</x:v>
      </x:c>
      <x:c r="N50" s="39" t="str">
        <x:v>OUTBREAK</x:v>
      </x:c>
      <x:c r="O50" s="39" t="str">
        <x:v>https://spire-codex.com/zhs/cards/outbreak</x:v>
      </x:c>
      <x:c r="P50" s="39" t="n">
        <x:v>20177</x:v>
      </x:c>
      <x:c r="Q50" s="39" t="str">
        <x:v>[30003]</x:v>
      </x:c>
      <x:c r="R50" s="39" t="str">
        <x:v>每成功对敌人施加3次中毒，对敌人造成11点特殊伤害。每份能力独立计数。</x:v>
      </x:c>
      <x:c r="S50" s="39" t="str">
        <x:v>已实现；星星费用、奇巧、能力Buff和衍生牌以正式配置为准。</x:v>
      </x:c>
    </x:row>
    <x:row r="51" ht="100" customHeight="1">
      <x:c r="A51" s="39" t="n">
        <x:v>58</x:v>
      </x:c>
      <x:c r="B51" s="39" t="str">
        <x:v>幻影之刃</x:v>
      </x:c>
      <x:c r="C51" s="39" t="str">
        <x:v>Phantom Blades</x:v>
      </x:c>
      <x:c r="D51" s="39" t="str">
        <x:v>能力</x:v>
      </x:c>
      <x:c r="E51" s="39" t="str">
        <x:v>罕见</x:v>
      </x:c>
      <x:c r="F51" s="39" t="n">
        <x:v>1</x:v>
      </x:c>
      <x:c r="G51" s="39" t="n">
        <x:v>1</x:v>
      </x:c>
      <x:c r="H51" s="39" t="str">
        <x:v>小刀获得保留。
你在每回合打出的第一张小刀额外造成9点伤害。</x:v>
      </x:c>
      <x:c r="I51" s="39" t="str">
        <x:v>小刀获得保留。
你在每回合打出的第一张小刀额外造成12点伤害。</x:v>
      </x:c>
      <x:c r="J51" s="39" t="str">
        <x:v>无</x:v>
      </x:c>
      <x:c r="K51" s="39" t="str">
        <x:v>无</x:v>
      </x:c>
      <x:c r="L51" s="39" t="str">
        <x:v>单人 / 多人</x:v>
      </x:c>
      <x:c r="M51" s="39" t="str">
        <x:v>自身</x:v>
      </x:c>
      <x:c r="N51" s="39" t="str">
        <x:v>PHANTOM_BLADES</x:v>
      </x:c>
      <x:c r="O51" s="39" t="str">
        <x:v>https://spire-codex.com/zhs/cards/phantom_blades</x:v>
      </x:c>
      <x:c r="P51" s="39" t="n">
        <x:v>20172</x:v>
      </x:c>
      <x:c r="Q51" s="39" t="str">
        <x:v>[30001]</x:v>
      </x:c>
      <x:c r="R51" s="39" t="str">
        <x:v>小刀获得保留。每回合打出的第一张小刀额外造成9点伤害。</x:v>
      </x:c>
      <x:c r="S51" s="39" t="str">
        <x:v>已实现；星星费用、奇巧、能力Buff和衍生牌以正式配置为准。</x:v>
      </x:c>
    </x:row>
    <x:row r="52" ht="100" customHeight="1">
      <x:c r="A52" s="39" t="n">
        <x:v>21</x:v>
      </x:c>
      <x:c r="B52" s="39" t="str">
        <x:v>尖啸</x:v>
      </x:c>
      <x:c r="C52" s="39" t="str">
        <x:v>Piercing Wail</x:v>
      </x:c>
      <x:c r="D52" s="39" t="str">
        <x:v>技能</x:v>
      </x:c>
      <x:c r="E52" s="39" t="str">
        <x:v>普通</x:v>
      </x:c>
      <x:c r="F52" s="39" t="n">
        <x:v>1</x:v>
      </x:c>
      <x:c r="G52" s="39" t="n">
        <x:v>1</x:v>
      </x:c>
      <x:c r="H52" s="39" t="str">
        <x:v>所有敌人在本回合失去6点力量。</x:v>
      </x:c>
      <x:c r="I52" s="39" t="str">
        <x:v>所有敌人在本回合失去8点力量。</x:v>
      </x:c>
      <x:c r="J52" s="39" t="str">
        <x:v>消耗</x:v>
      </x:c>
      <x:c r="K52" s="39" t="str">
        <x:v>消耗</x:v>
      </x:c>
      <x:c r="L52" s="39" t="str">
        <x:v>单人 / 多人</x:v>
      </x:c>
      <x:c r="M52" s="39" t="str">
        <x:v>所有敌人</x:v>
      </x:c>
      <x:c r="N52" s="39" t="str">
        <x:v>PIERCING_WAIL</x:v>
      </x:c>
      <x:c r="O52" s="39" t="str">
        <x:v>https://spire-codex.com/zhs/cards/piercing_wail</x:v>
      </x:c>
      <x:c r="P52" s="39" t="n">
        <x:v>20156</x:v>
      </x:c>
      <x:c r="Q52" s="39" t="str">
        <x:v>[30002]</x:v>
      </x:c>
      <x:c r="R52" s="39" t="str">
        <x:v>敌人失去6点力量，直到敌人的本次行动结束后恢复。
消耗。</x:v>
      </x:c>
      <x:c r="S52" s="39" t="str">
        <x:v>已实现；星星费用、奇巧、能力Buff和衍生牌以正式配置为准。</x:v>
      </x:c>
    </x:row>
    <x:row r="53" ht="100" customHeight="1">
      <x:c r="A53" s="39" t="n">
        <x:v>9</x:v>
      </x:c>
      <x:c r="B53" s="39" t="str">
        <x:v>带毒刺击</x:v>
      </x:c>
      <x:c r="C53" s="39" t="str">
        <x:v>Poisoned Stab</x:v>
      </x:c>
      <x:c r="D53" s="39" t="str">
        <x:v>攻击</x:v>
      </x:c>
      <x:c r="E53" s="39" t="str">
        <x:v>普通</x:v>
      </x:c>
      <x:c r="F53" s="39" t="n">
        <x:v>1</x:v>
      </x:c>
      <x:c r="G53" s="39" t="n">
        <x:v>1</x:v>
      </x:c>
      <x:c r="H53" s="39" t="str">
        <x:v>造成6点伤害。
给予3层中毒。</x:v>
      </x:c>
      <x:c r="I53" s="39" t="str">
        <x:v>造成8点伤害。
给予4层中毒。</x:v>
      </x:c>
      <x:c r="J53" s="39" t="str">
        <x:v>无</x:v>
      </x:c>
      <x:c r="K53" s="39" t="str">
        <x:v>无</x:v>
      </x:c>
      <x:c r="L53" s="39" t="str">
        <x:v>单人 / 多人</x:v>
      </x:c>
      <x:c r="M53" s="39" t="str">
        <x:v>单个敌人</x:v>
      </x:c>
      <x:c r="N53" s="39" t="str">
        <x:v>POISONED_STAB</x:v>
      </x:c>
      <x:c r="O53" s="39" t="str">
        <x:v>https://spire-codex.com/zhs/cards/poisoned_stab</x:v>
      </x:c>
      <x:c r="P53" s="39" t="n">
        <x:v>20157</x:v>
      </x:c>
      <x:c r="Q53" s="39" t="str">
        <x:v>[30003]</x:v>
      </x:c>
      <x:c r="R53" s="39" t="str">
        <x:v>造成4点伤害。
给予2层中毒。</x:v>
      </x:c>
      <x:c r="S53" s="39" t="str">
        <x:v>已实现；星星费用、奇巧、能力Buff和衍生牌以正式配置为准。</x:v>
      </x:c>
    </x:row>
    <x:row r="54" ht="100" customHeight="1">
      <x:c r="A54" s="39" t="n">
        <x:v>32</x:v>
      </x:c>
      <x:c r="B54" s="39" t="str">
        <x:v>精确切击</x:v>
      </x:c>
      <x:c r="C54" s="39" t="str">
        <x:v>Precise Cut</x:v>
      </x:c>
      <x:c r="D54" s="39" t="str">
        <x:v>攻击</x:v>
      </x:c>
      <x:c r="E54" s="39" t="str">
        <x:v>罕见</x:v>
      </x:c>
      <x:c r="F54" s="39" t="n">
        <x:v>0</x:v>
      </x:c>
      <x:c r="G54" s="39" t="n">
        <x:v>0</x:v>
      </x:c>
      <x:c r="H54" s="39" t="str">
        <x:v>造成13点伤害。
你的手牌中每有一张其他牌，此牌的伤害就降低2点。</x:v>
      </x:c>
      <x:c r="I54" s="39" t="str">
        <x:v>造成16点伤害。
你的手牌中每有一张其他牌，此牌的伤害就降低2点。</x:v>
      </x:c>
      <x:c r="J54" s="39" t="str">
        <x:v>无</x:v>
      </x:c>
      <x:c r="K54" s="39" t="str">
        <x:v>无</x:v>
      </x:c>
      <x:c r="L54" s="39" t="str">
        <x:v>单人 / 多人</x:v>
      </x:c>
      <x:c r="M54" s="39" t="str">
        <x:v>单个敌人</x:v>
      </x:c>
      <x:c r="N54" s="39" t="str">
        <x:v>PRECISE_CUT</x:v>
      </x:c>
      <x:c r="O54" s="39" t="str">
        <x:v>https://spire-codex.com/zhs/cards/precise_cut</x:v>
      </x:c>
      <x:c r="P54" s="39" t="n">
        <x:v>20234</x:v>
      </x:c>
      <x:c r="Q54" s="39" t="str">
        <x:v>[]</x:v>
      </x:c>
      <x:c r="R54" s="39" t="str">
        <x:v>造成13点伤害，手中每有一张其他牌减少2点（最低0）。</x:v>
      </x:c>
      <x:c r="S54" s="39" t="str">
        <x:v>已实现；星星费用、奇巧、能力Buff和衍生牌以正式配置为准。</x:v>
      </x:c>
    </x:row>
    <x:row r="55" ht="100" customHeight="1">
      <x:c r="A55" s="39" t="n">
        <x:v>10</x:v>
      </x:c>
      <x:c r="B55" s="39" t="str">
        <x:v>猎杀者</x:v>
      </x:c>
      <x:c r="C55" s="39" t="str">
        <x:v>Predator</x:v>
      </x:c>
      <x:c r="D55" s="39" t="str">
        <x:v>攻击</x:v>
      </x:c>
      <x:c r="E55" s="39" t="str">
        <x:v>普通</x:v>
      </x:c>
      <x:c r="F55" s="39" t="n">
        <x:v>2</x:v>
      </x:c>
      <x:c r="G55" s="39" t="n">
        <x:v>2</x:v>
      </x:c>
      <x:c r="H55" s="39" t="str">
        <x:v>造成15点伤害。
在下个回合抽2张牌。</x:v>
      </x:c>
      <x:c r="I55" s="39" t="str">
        <x:v>造成20点伤害。
在下个回合抽2张牌。</x:v>
      </x:c>
      <x:c r="J55" s="39" t="str">
        <x:v>无</x:v>
      </x:c>
      <x:c r="K55" s="39" t="str">
        <x:v>无</x:v>
      </x:c>
      <x:c r="L55" s="39" t="str">
        <x:v>单人 / 多人</x:v>
      </x:c>
      <x:c r="M55" s="39" t="str">
        <x:v>单个敌人</x:v>
      </x:c>
      <x:c r="N55" s="39" t="str">
        <x:v>PREDATOR</x:v>
      </x:c>
      <x:c r="O55" s="39" t="str">
        <x:v>https://spire-codex.com/zhs/cards/predator</x:v>
      </x:c>
      <x:c r="P55" s="39" t="n">
        <x:v>20158</x:v>
      </x:c>
      <x:c r="Q55" s="39" t="str">
        <x:v>[30001,30003]</x:v>
      </x:c>
      <x:c r="R55" s="39" t="str">
        <x:v>造成12点伤害。
在下回合补足基础手牌后，额外抽2张牌。</x:v>
      </x:c>
      <x:c r="S55" s="39" t="str">
        <x:v>已实现；星星费用、奇巧、能力Buff和衍生牌以正式配置为准。</x:v>
      </x:c>
    </x:row>
    <x:row r="56" ht="100" customHeight="1">
      <x:c r="A56" s="39" t="n">
        <x:v>22</x:v>
      </x:c>
      <x:c r="B56" s="39" t="str">
        <x:v>早有准备</x:v>
      </x:c>
      <x:c r="C56" s="39" t="str">
        <x:v>Prepared</x:v>
      </x:c>
      <x:c r="D56" s="39" t="str">
        <x:v>技能</x:v>
      </x:c>
      <x:c r="E56" s="39" t="str">
        <x:v>普通</x:v>
      </x:c>
      <x:c r="F56" s="39" t="n">
        <x:v>0</x:v>
      </x:c>
      <x:c r="G56" s="39" t="n">
        <x:v>0</x:v>
      </x:c>
      <x:c r="H56" s="39" t="str">
        <x:v>抽1张牌。
丢弃1张牌。</x:v>
      </x:c>
      <x:c r="I56" s="39" t="str">
        <x:v>抽2张牌。
丢弃2张牌。</x:v>
      </x:c>
      <x:c r="J56" s="39" t="str">
        <x:v>无</x:v>
      </x:c>
      <x:c r="K56" s="39" t="str">
        <x:v>无</x:v>
      </x:c>
      <x:c r="L56" s="39" t="str">
        <x:v>单人 / 多人</x:v>
      </x:c>
      <x:c r="M56" s="39" t="str">
        <x:v>自身</x:v>
      </x:c>
      <x:c r="N56" s="39" t="str">
        <x:v>PREPARED</x:v>
      </x:c>
      <x:c r="O56" s="39" t="str">
        <x:v>https://spire-codex.com/zhs/cards/prepared</x:v>
      </x:c>
      <x:c r="P56" s="39" t="n">
        <x:v>20159</x:v>
      </x:c>
      <x:c r="Q56" s="39" t="str">
        <x:v>[]</x:v>
      </x:c>
      <x:c r="R56" s="39" t="str">
        <x:v>抽1张牌。
丢弃1张手牌。</x:v>
      </x:c>
      <x:c r="S56" s="39" t="str">
        <x:v>已实现；星星费用、奇巧、能力Buff和衍生牌以正式配置为准。</x:v>
      </x:c>
    </x:row>
    <x:row r="57" ht="100" customHeight="1">
      <x:c r="A57" s="39" t="n">
        <x:v>49</x:v>
      </x:c>
      <x:c r="B57" s="39" t="str">
        <x:v>本能反应</x:v>
      </x:c>
      <x:c r="C57" s="39" t="str">
        <x:v>Reflex</x:v>
      </x:c>
      <x:c r="D57" s="39" t="str">
        <x:v>技能</x:v>
      </x:c>
      <x:c r="E57" s="39" t="str">
        <x:v>罕见</x:v>
      </x:c>
      <x:c r="F57" s="39" t="n">
        <x:v>3</x:v>
      </x:c>
      <x:c r="G57" s="39" t="n">
        <x:v>3</x:v>
      </x:c>
      <x:c r="H57" s="39" t="str">
        <x:v>抽2张牌。</x:v>
      </x:c>
      <x:c r="I57" s="39" t="str">
        <x:v>抽3张牌。</x:v>
      </x:c>
      <x:c r="J57" s="39" t="str">
        <x:v>奇巧</x:v>
      </x:c>
      <x:c r="K57" s="39" t="str">
        <x:v>奇巧</x:v>
      </x:c>
      <x:c r="L57" s="39" t="str">
        <x:v>单人 / 多人</x:v>
      </x:c>
      <x:c r="M57" s="39" t="str">
        <x:v>自身</x:v>
      </x:c>
      <x:c r="N57" s="39" t="str">
        <x:v>REFLEX</x:v>
      </x:c>
      <x:c r="O57" s="39" t="str">
        <x:v>https://spire-codex.com/zhs/cards/reflex</x:v>
      </x:c>
      <x:c r="P57" s="39" t="n">
        <x:v>20202</x:v>
      </x:c>
      <x:c r="Q57" s="39" t="str">
        <x:v>[30001,30001]</x:v>
      </x:c>
      <x:c r="R57" s="39" t="str">
        <x:v>抽2张牌。奇巧。</x:v>
      </x:c>
      <x:c r="S57" s="39" t="str">
        <x:v>已实现；星星费用、奇巧、能力Buff和衍生牌以正式配置为准。</x:v>
      </x:c>
    </x:row>
    <x:row r="58" ht="100" customHeight="1">
      <x:c r="A58" s="39" t="n">
        <x:v>11</x:v>
      </x:c>
      <x:c r="B58" s="39" t="str">
        <x:v>连续反弹</x:v>
      </x:c>
      <x:c r="C58" s="39" t="str">
        <x:v>Ricochet</x:v>
      </x:c>
      <x:c r="D58" s="39" t="str">
        <x:v>攻击</x:v>
      </x:c>
      <x:c r="E58" s="39" t="str">
        <x:v>普通</x:v>
      </x:c>
      <x:c r="F58" s="39" t="n">
        <x:v>2</x:v>
      </x:c>
      <x:c r="G58" s="39" t="n">
        <x:v>2</x:v>
      </x:c>
      <x:c r="H58" s="39" t="str">
        <x:v>随机对敌人造成3点伤害4次。</x:v>
      </x:c>
      <x:c r="I58" s="39" t="str">
        <x:v>随机对敌人造成3点伤害5次。</x:v>
      </x:c>
      <x:c r="J58" s="39" t="str">
        <x:v>奇巧</x:v>
      </x:c>
      <x:c r="K58" s="39" t="str">
        <x:v>奇巧</x:v>
      </x:c>
      <x:c r="L58" s="39" t="str">
        <x:v>单人 / 多人</x:v>
      </x:c>
      <x:c r="M58" s="39" t="str">
        <x:v>随机敌人</x:v>
      </x:c>
      <x:c r="N58" s="39" t="str">
        <x:v>RICOCHET</x:v>
      </x:c>
      <x:c r="O58" s="39" t="str">
        <x:v>https://spire-codex.com/zhs/cards/ricochet</x:v>
      </x:c>
      <x:c r="P58" s="39" t="n">
        <x:v>20204</x:v>
      </x:c>
      <x:c r="Q58" s="39" t="str">
        <x:v>[30003,30003]</x:v>
      </x:c>
      <x:c r="R58" s="39" t="str">
        <x:v>对敌人造成3点伤害4次。奇巧。</x:v>
      </x:c>
      <x:c r="S58" s="39" t="str">
        <x:v>已实现；星星费用、奇巧、能力Buff和衍生牌以正式配置为准。</x:v>
      </x:c>
    </x:row>
    <x:row r="59" ht="100" customHeight="1">
      <x:c r="A59" s="39" t="n">
        <x:v>50</x:v>
      </x:c>
      <x:c r="B59" s="39" t="str">
        <x:v>恫吓</x:v>
      </x:c>
      <x:c r="C59" s="39" t="str">
        <x:v>Scare</x:v>
      </x:c>
      <x:c r="D59" s="39" t="str">
        <x:v>技能</x:v>
      </x:c>
      <x:c r="E59" s="39" t="str">
        <x:v>罕见</x:v>
      </x:c>
      <x:c r="F59" s="39" t="n">
        <x:v>0</x:v>
      </x:c>
      <x:c r="G59" s="39" t="n">
        <x:v>0</x:v>
      </x:c>
      <x:c r="H59" s="39" t="str">
        <x:v>给予所有敌人1层虚弱。</x:v>
      </x:c>
      <x:c r="I59" s="39" t="str">
        <x:v>给予所有敌人1层虚弱。</x:v>
      </x:c>
      <x:c r="J59" s="39" t="str">
        <x:v>消耗</x:v>
      </x:c>
      <x:c r="K59" s="39" t="str">
        <x:v>无</x:v>
      </x:c>
      <x:c r="L59" s="39" t="str">
        <x:v>单人 / 多人</x:v>
      </x:c>
      <x:c r="M59" s="39" t="str">
        <x:v>所有敌人</x:v>
      </x:c>
      <x:c r="N59" s="39" t="str">
        <x:v>SCARE</x:v>
      </x:c>
      <x:c r="O59" s="39" t="str">
        <x:v>https://spire-codex.com/zhs/cards/scare</x:v>
      </x:c>
      <x:c r="P59" s="39" t="n">
        <x:v>20160</x:v>
      </x:c>
      <x:c r="Q59" s="39" t="str">
        <x:v>[]</x:v>
      </x:c>
      <x:c r="R59" s="39" t="str">
        <x:v>给予敌人1层虚弱。
消耗。</x:v>
      </x:c>
      <x:c r="S59" s="39" t="str">
        <x:v>已实现；星星费用、奇巧、能力Buff和衍生牌以正式配置为准。</x:v>
      </x:c>
    </x:row>
    <x:row r="60" ht="100" customHeight="1">
      <x:c r="A60" s="39" t="n">
        <x:v>83</x:v>
      </x:c>
      <x:c r="B60" s="39" t="str">
        <x:v>群蛇形态</x:v>
      </x:c>
      <x:c r="C60" s="39" t="str">
        <x:v>Serpent Form</x:v>
      </x:c>
      <x:c r="D60" s="39" t="str">
        <x:v>能力</x:v>
      </x:c>
      <x:c r="E60" s="39" t="str">
        <x:v>稀有</x:v>
      </x:c>
      <x:c r="F60" s="39" t="n">
        <x:v>3</x:v>
      </x:c>
      <x:c r="G60" s="39" t="n">
        <x:v>3</x:v>
      </x:c>
      <x:c r="H60" s="39" t="str">
        <x:v>你每打出一张牌，就对随机一名敌人造成4点伤害。</x:v>
      </x:c>
      <x:c r="I60" s="39" t="str">
        <x:v>你每打出一张牌，就对随机一名敌人造成6点伤害。</x:v>
      </x:c>
      <x:c r="J60" s="39" t="str">
        <x:v>无</x:v>
      </x:c>
      <x:c r="K60" s="39" t="str">
        <x:v>无</x:v>
      </x:c>
      <x:c r="L60" s="39" t="str">
        <x:v>单人 / 多人</x:v>
      </x:c>
      <x:c r="M60" s="39" t="str">
        <x:v>自身</x:v>
      </x:c>
      <x:c r="N60" s="39" t="str">
        <x:v>SERPENT_FORM</x:v>
      </x:c>
      <x:c r="O60" s="39" t="str">
        <x:v>https://spire-codex.com/zhs/cards/serpent_form</x:v>
      </x:c>
      <x:c r="P60" s="39" t="n">
        <x:v>20161</x:v>
      </x:c>
      <x:c r="Q60" s="39" t="str">
        <x:v>[30001,30003,30003]</x:v>
      </x:c>
      <x:c r="R60" s="39" t="str">
        <x:v>本场战斗每打出一张牌，对敌人造成4点特殊伤害。</x:v>
      </x:c>
      <x:c r="S60" s="39" t="str">
        <x:v>已实现；星星费用、奇巧、能力Buff和衍生牌以正式配置为准。</x:v>
      </x:c>
    </x:row>
    <x:row r="61" ht="100" customHeight="1">
      <x:c r="A61" s="39" t="n">
        <x:v>12</x:v>
      </x:c>
      <x:c r="B61" s="39" t="str">
        <x:v>切割</x:v>
      </x:c>
      <x:c r="C61" s="39" t="str">
        <x:v>Slice</x:v>
      </x:c>
      <x:c r="D61" s="39" t="str">
        <x:v>攻击</x:v>
      </x:c>
      <x:c r="E61" s="39" t="str">
        <x:v>普通</x:v>
      </x:c>
      <x:c r="F61" s="39" t="n">
        <x:v>0</x:v>
      </x:c>
      <x:c r="G61" s="39" t="n">
        <x:v>0</x:v>
      </x:c>
      <x:c r="H61" s="39" t="str">
        <x:v>造成6点伤害。</x:v>
      </x:c>
      <x:c r="I61" s="39" t="str">
        <x:v>造成9点伤害。</x:v>
      </x:c>
      <x:c r="J61" s="39" t="str">
        <x:v>无</x:v>
      </x:c>
      <x:c r="K61" s="39" t="str">
        <x:v>无</x:v>
      </x:c>
      <x:c r="L61" s="39" t="str">
        <x:v>单人 / 多人</x:v>
      </x:c>
      <x:c r="M61" s="39" t="str">
        <x:v>单个敌人</x:v>
      </x:c>
      <x:c r="N61" s="39" t="str">
        <x:v>SLICE</x:v>
      </x:c>
      <x:c r="O61" s="39" t="str">
        <x:v>https://spire-codex.com/zhs/cards/slice</x:v>
      </x:c>
      <x:c r="P61" s="39" t="n">
        <x:v>20162</x:v>
      </x:c>
      <x:c r="Q61" s="39" t="str">
        <x:v>[]</x:v>
      </x:c>
      <x:c r="R61" s="39" t="str">
        <x:v>造成6点伤害。</x:v>
      </x:c>
      <x:c r="S61" s="39" t="str">
        <x:v>已实现；星星费用、奇巧、能力Buff和衍生牌以正式配置为准。</x:v>
      </x:c>
    </x:row>
    <x:row r="62" ht="100" customHeight="1">
      <x:c r="A62" s="39" t="n">
        <x:v>23</x:v>
      </x:c>
      <x:c r="B62" s="39" t="str">
        <x:v>蛇咬</x:v>
      </x:c>
      <x:c r="C62" s="39" t="str">
        <x:v>Snakebite</x:v>
      </x:c>
      <x:c r="D62" s="39" t="str">
        <x:v>技能</x:v>
      </x:c>
      <x:c r="E62" s="39" t="str">
        <x:v>普通</x:v>
      </x:c>
      <x:c r="F62" s="39" t="n">
        <x:v>2</x:v>
      </x:c>
      <x:c r="G62" s="39" t="n">
        <x:v>2</x:v>
      </x:c>
      <x:c r="H62" s="39" t="str">
        <x:v>给予7层中毒。</x:v>
      </x:c>
      <x:c r="I62" s="39" t="str">
        <x:v>给予10层中毒。</x:v>
      </x:c>
      <x:c r="J62" s="39" t="str">
        <x:v>保留</x:v>
      </x:c>
      <x:c r="K62" s="39" t="str">
        <x:v>保留</x:v>
      </x:c>
      <x:c r="L62" s="39" t="str">
        <x:v>单人 / 多人</x:v>
      </x:c>
      <x:c r="M62" s="39" t="str">
        <x:v>单个敌人</x:v>
      </x:c>
      <x:c r="N62" s="39" t="str">
        <x:v>SNAKEBITE</x:v>
      </x:c>
      <x:c r="O62" s="39" t="str">
        <x:v>https://spire-codex.com/zhs/cards/snakebite</x:v>
      </x:c>
      <x:c r="P62" s="39" t="n">
        <x:v>20163</x:v>
      </x:c>
      <x:c r="Q62" s="39" t="str">
        <x:v>[30003,30003]</x:v>
      </x:c>
      <x:c r="R62" s="39" t="str">
        <x:v>给予7层中毒。
保留。</x:v>
      </x:c>
      <x:c r="S62" s="39" t="str">
        <x:v>已实现；星星费用、奇巧、能力Buff和衍生牌以正式配置为准。</x:v>
      </x:c>
    </x:row>
    <x:row r="63" ht="100" customHeight="1">
      <x:c r="A63" s="39" t="n">
        <x:v>59</x:v>
      </x:c>
      <x:c r="B63" s="39" t="str">
        <x:v>速行者</x:v>
      </x:c>
      <x:c r="C63" s="39" t="str">
        <x:v>Speedster</x:v>
      </x:c>
      <x:c r="D63" s="39" t="str">
        <x:v>能力</x:v>
      </x:c>
      <x:c r="E63" s="39" t="str">
        <x:v>罕见</x:v>
      </x:c>
      <x:c r="F63" s="39" t="n">
        <x:v>2</x:v>
      </x:c>
      <x:c r="G63" s="39" t="n">
        <x:v>2</x:v>
      </x:c>
      <x:c r="H63" s="39" t="str">
        <x:v>每当你在回合进行中抽到一张牌时，对所有敌人造成2点伤害。</x:v>
      </x:c>
      <x:c r="I63" s="39" t="str">
        <x:v>每当你在回合进行中抽到一张牌时，对所有敌人造成2点伤害。</x:v>
      </x:c>
      <x:c r="J63" s="39" t="str">
        <x:v>无</x:v>
      </x:c>
      <x:c r="K63" s="39" t="str">
        <x:v>固有</x:v>
      </x:c>
      <x:c r="L63" s="39" t="str">
        <x:v>单人 / 多人</x:v>
      </x:c>
      <x:c r="M63" s="39" t="str">
        <x:v>自身</x:v>
      </x:c>
      <x:c r="N63" s="39" t="str">
        <x:v>SPEEDSTER</x:v>
      </x:c>
      <x:c r="O63" s="39" t="str">
        <x:v>https://spire-codex.com/zhs/cards/speedster</x:v>
      </x:c>
      <x:c r="P63" s="39" t="n">
        <x:v>20175</x:v>
      </x:c>
      <x:c r="Q63" s="39" t="str">
        <x:v>[30001,30003]</x:v>
      </x:c>
      <x:c r="R63" s="39" t="str">
        <x:v>每当你在回合进行中抽到一张牌，对敌人造成2点特殊伤害。</x:v>
      </x:c>
      <x:c r="S63" s="39" t="str">
        <x:v>已实现；星星费用、奇巧、能力Buff和衍生牌以正式配置为准。</x:v>
      </x:c>
    </x:row>
    <x:row r="64" ht="100" customHeight="1">
      <x:c r="A64" s="39" t="n">
        <x:v>76</x:v>
      </x:c>
      <x:c r="B64" s="39" t="str">
        <x:v>钢铁风暴</x:v>
      </x:c>
      <x:c r="C64" s="39" t="str">
        <x:v>Storm of Steel</x:v>
      </x:c>
      <x:c r="D64" s="39" t="str">
        <x:v>技能</x:v>
      </x:c>
      <x:c r="E64" s="39" t="str">
        <x:v>稀有</x:v>
      </x:c>
      <x:c r="F64" s="39" t="n">
        <x:v>1</x:v>
      </x:c>
      <x:c r="G64" s="39" t="n">
        <x:v>1</x:v>
      </x:c>
      <x:c r="H64" s="39" t="str">
        <x:v>丢弃所有手牌。
每丢弃一张牌，就将一张小刀添加至你的手牌。</x:v>
      </x:c>
      <x:c r="I64" s="39" t="str">
        <x:v>丢弃所有手牌。
每丢弃一张牌，就将一张小刀+添加至你的手牌。</x:v>
      </x:c>
      <x:c r="J64" s="39" t="str">
        <x:v>无</x:v>
      </x:c>
      <x:c r="K64" s="39" t="str">
        <x:v>无</x:v>
      </x:c>
      <x:c r="L64" s="39" t="str">
        <x:v>单人 / 多人</x:v>
      </x:c>
      <x:c r="M64" s="39" t="str">
        <x:v>自身</x:v>
      </x:c>
      <x:c r="N64" s="39" t="str">
        <x:v>STORM_OF_STEEL</x:v>
      </x:c>
      <x:c r="O64" s="39" t="str">
        <x:v>https://spire-codex.com/zhs/cards/storm_of_steel</x:v>
      </x:c>
      <x:c r="P64" s="39" t="n">
        <x:v>20200</x:v>
      </x:c>
      <x:c r="Q64" s="39" t="str">
        <x:v>[30001]</x:v>
      </x:c>
      <x:c r="R64" s="39" t="str">
        <x:v>主动丢弃全部手牌；每实际丢弃1张牌，生成1张小刀。</x:v>
      </x:c>
      <x:c r="S64" s="39" t="str">
        <x:v>已实现；星星费用、奇巧、能力Buff和衍生牌以正式配置为准。</x:v>
      </x:c>
    </x:row>
    <x:row r="65" ht="100" customHeight="1">
      <x:c r="A65" s="39" t="n">
        <x:v>2</x:v>
      </x:c>
      <x:c r="B65" s="39" t="str">
        <x:v>打击</x:v>
      </x:c>
      <x:c r="C65" s="39" t="str">
        <x:v>Strike</x:v>
      </x:c>
      <x:c r="D65" s="39" t="str">
        <x:v>攻击</x:v>
      </x:c>
      <x:c r="E65" s="39" t="str">
        <x:v>基础</x:v>
      </x:c>
      <x:c r="F65" s="39" t="n">
        <x:v>1</x:v>
      </x:c>
      <x:c r="G65" s="39" t="n">
        <x:v>1</x:v>
      </x:c>
      <x:c r="H65" s="39" t="str">
        <x:v>造成6点伤害。</x:v>
      </x:c>
      <x:c r="I65" s="39" t="str">
        <x:v>造成9点伤害。</x:v>
      </x:c>
      <x:c r="J65" s="39" t="str">
        <x:v>无</x:v>
      </x:c>
      <x:c r="K65" s="39" t="str">
        <x:v>无</x:v>
      </x:c>
      <x:c r="L65" s="39" t="str">
        <x:v>单人 / 多人</x:v>
      </x:c>
      <x:c r="M65" s="39" t="str">
        <x:v>单个敌人</x:v>
      </x:c>
      <x:c r="N65" s="39" t="str">
        <x:v>STRIKE_SILENT</x:v>
      </x:c>
      <x:c r="O65" s="39" t="str">
        <x:v>https://spire-codex.com/zhs/cards/strike_silent</x:v>
      </x:c>
      <x:c r="P65" s="39" t="n">
        <x:v>20164</x:v>
      </x:c>
      <x:c r="Q65" s="39" t="str">
        <x:v>[30003]</x:v>
      </x:c>
      <x:c r="R65" s="39" t="str">
        <x:v>造成6点伤害。</x:v>
      </x:c>
      <x:c r="S65" s="39" t="str">
        <x:v>已实现；星星费用、奇巧、能力Buff和衍生牌以正式配置为准。</x:v>
      </x:c>
    </x:row>
    <x:row r="66" ht="100" customHeight="1">
      <x:c r="A66" s="39" t="n">
        <x:v>13</x:v>
      </x:c>
      <x:c r="B66" s="39" t="str">
        <x:v>突然一拳</x:v>
      </x:c>
      <x:c r="C66" s="39" t="str">
        <x:v>Sucker Punch</x:v>
      </x:c>
      <x:c r="D66" s="39" t="str">
        <x:v>攻击</x:v>
      </x:c>
      <x:c r="E66" s="39" t="str">
        <x:v>普通</x:v>
      </x:c>
      <x:c r="F66" s="39" t="n">
        <x:v>1</x:v>
      </x:c>
      <x:c r="G66" s="39" t="n">
        <x:v>1</x:v>
      </x:c>
      <x:c r="H66" s="39" t="str">
        <x:v>造成8点伤害。
给予1层虚弱。</x:v>
      </x:c>
      <x:c r="I66" s="39" t="str">
        <x:v>造成10点伤害。
给予2层虚弱。</x:v>
      </x:c>
      <x:c r="J66" s="39" t="str">
        <x:v>无</x:v>
      </x:c>
      <x:c r="K66" s="39" t="str">
        <x:v>无</x:v>
      </x:c>
      <x:c r="L66" s="39" t="str">
        <x:v>单人 / 多人</x:v>
      </x:c>
      <x:c r="M66" s="39" t="str">
        <x:v>单个敌人</x:v>
      </x:c>
      <x:c r="N66" s="39" t="str">
        <x:v>SUCKER_PUNCH</x:v>
      </x:c>
      <x:c r="O66" s="39" t="str">
        <x:v>https://spire-codex.com/zhs/cards/sucker_punch</x:v>
      </x:c>
      <x:c r="P66" s="39" t="n">
        <x:v>20165</x:v>
      </x:c>
      <x:c r="Q66" s="39" t="str">
        <x:v>[30002]</x:v>
      </x:c>
      <x:c r="R66" s="39" t="str">
        <x:v>造成5点伤害。
给予1层虚弱。</x:v>
      </x:c>
      <x:c r="S66" s="39" t="str">
        <x:v>已实现；星星费用、奇巧、能力Buff和衍生牌以正式配置为准。</x:v>
      </x:c>
    </x:row>
    <x:row r="67" ht="100" customHeight="1">
      <x:c r="A67" s="39" t="n">
        <x:v>4</x:v>
      </x:c>
      <x:c r="B67" s="39" t="str">
        <x:v>生存者</x:v>
      </x:c>
      <x:c r="C67" s="39" t="str">
        <x:v>Survivor</x:v>
      </x:c>
      <x:c r="D67" s="39" t="str">
        <x:v>技能</x:v>
      </x:c>
      <x:c r="E67" s="39" t="str">
        <x:v>基础</x:v>
      </x:c>
      <x:c r="F67" s="39" t="n">
        <x:v>1</x:v>
      </x:c>
      <x:c r="G67" s="39" t="n">
        <x:v>1</x:v>
      </x:c>
      <x:c r="H67" s="39" t="str">
        <x:v>获得8点格挡。
丢弃1张牌。</x:v>
      </x:c>
      <x:c r="I67" s="39" t="str">
        <x:v>获得11点格挡。
丢弃1张牌。</x:v>
      </x:c>
      <x:c r="J67" s="39" t="str">
        <x:v>无</x:v>
      </x:c>
      <x:c r="K67" s="39" t="str">
        <x:v>无</x:v>
      </x:c>
      <x:c r="L67" s="39" t="str">
        <x:v>单人 / 多人</x:v>
      </x:c>
      <x:c r="M67" s="39" t="str">
        <x:v>自身</x:v>
      </x:c>
      <x:c r="N67" s="39" t="str">
        <x:v>SURVIVOR</x:v>
      </x:c>
      <x:c r="O67" s="39" t="str">
        <x:v>https://spire-codex.com/zhs/cards/survivor</x:v>
      </x:c>
      <x:c r="P67" s="39" t="n">
        <x:v>20166</x:v>
      </x:c>
      <x:c r="Q67" s="39" t="str">
        <x:v>[30002]</x:v>
      </x:c>
      <x:c r="R67" s="39" t="str">
        <x:v>获得8点格挡。
丢弃1张手牌。</x:v>
      </x:c>
      <x:c r="S67" s="39" t="str">
        <x:v>已实现；星星费用、奇巧、能力Buff和衍生牌以正式配置为准。</x:v>
      </x:c>
    </x:row>
    <x:row r="68" ht="100" customHeight="1">
      <x:c r="A68" s="39" t="n">
        <x:v>51</x:v>
      </x:c>
      <x:c r="B68" s="39" t="str">
        <x:v>战术大师</x:v>
      </x:c>
      <x:c r="C68" s="39" t="str">
        <x:v>Tactician</x:v>
      </x:c>
      <x:c r="D68" s="39" t="str">
        <x:v>技能</x:v>
      </x:c>
      <x:c r="E68" s="39" t="str">
        <x:v>罕见</x:v>
      </x:c>
      <x:c r="F68" s="39" t="n">
        <x:v>3</x:v>
      </x:c>
      <x:c r="G68" s="39" t="n">
        <x:v>3</x:v>
      </x:c>
      <x:c r="H68" s="39" t="str">
        <x:v>获得1点能量。</x:v>
      </x:c>
      <x:c r="I68" s="39" t="str">
        <x:v>获得2点能量。</x:v>
      </x:c>
      <x:c r="J68" s="39" t="str">
        <x:v>奇巧</x:v>
      </x:c>
      <x:c r="K68" s="39" t="str">
        <x:v>奇巧</x:v>
      </x:c>
      <x:c r="L68" s="39" t="str">
        <x:v>单人 / 多人</x:v>
      </x:c>
      <x:c r="M68" s="39" t="str">
        <x:v>自身</x:v>
      </x:c>
      <x:c r="N68" s="39" t="str">
        <x:v>TACTICIAN</x:v>
      </x:c>
      <x:c r="O68" s="39" t="str">
        <x:v>https://spire-codex.com/zhs/cards/tactician</x:v>
      </x:c>
      <x:c r="P68" s="39" t="n">
        <x:v>20201</x:v>
      </x:c>
      <x:c r="Q68" s="39" t="str">
        <x:v>[30001,30001]</x:v>
      </x:c>
      <x:c r="R68" s="39" t="str">
        <x:v>获得1点能量。奇巧。</x:v>
      </x:c>
      <x:c r="S68" s="39" t="str">
        <x:v>已实现；星星费用、奇巧、能力Buff和衍生牌以正式配置为准。</x:v>
      </x:c>
    </x:row>
    <x:row r="69" ht="100" customHeight="1">
      <x:c r="A69" s="39" t="n">
        <x:v>85</x:v>
      </x:c>
      <x:c r="B69" s="39" t="str">
        <x:v>必备工具</x:v>
      </x:c>
      <x:c r="C69" s="39" t="str">
        <x:v>Tools of the Trade</x:v>
      </x:c>
      <x:c r="D69" s="39" t="str">
        <x:v>能力</x:v>
      </x:c>
      <x:c r="E69" s="39" t="str">
        <x:v>稀有</x:v>
      </x:c>
      <x:c r="F69" s="39" t="n">
        <x:v>1</x:v>
      </x:c>
      <x:c r="G69" s="39" t="n">
        <x:v>0</x:v>
      </x:c>
      <x:c r="H69" s="39" t="str">
        <x:v>在你的回合开始时，抽1张牌，丢弃1张牌。</x:v>
      </x:c>
      <x:c r="I69" s="39" t="str">
        <x:v>在你的回合开始时，抽1张牌，丢弃1张牌。</x:v>
      </x:c>
      <x:c r="J69" s="39" t="str">
        <x:v>无</x:v>
      </x:c>
      <x:c r="K69" s="39" t="str">
        <x:v>无</x:v>
      </x:c>
      <x:c r="L69" s="39" t="str">
        <x:v>单人 / 多人</x:v>
      </x:c>
      <x:c r="M69" s="39" t="str">
        <x:v>自身</x:v>
      </x:c>
      <x:c r="N69" s="39" t="str">
        <x:v>TOOLS_OF_THE_TRADE</x:v>
      </x:c>
      <x:c r="O69" s="39" t="str">
        <x:v>https://spire-codex.com/zhs/cards/tools_of_the_trade</x:v>
      </x:c>
      <x:c r="P69" s="39" t="n">
        <x:v>20167</x:v>
      </x:c>
      <x:c r="Q69" s="39" t="str">
        <x:v>[30001]</x:v>
      </x:c>
      <x:c r="R69" s="39" t="str">
        <x:v>在你的回合补足基础手牌后，抽1张牌，然后丢弃1张手牌。</x:v>
      </x:c>
      <x:c r="S69" s="39" t="str">
        <x:v>已实现；星星费用、奇巧、能力Buff和衍生牌以正式配置为准。</x:v>
      </x:c>
    </x:row>
    <x:row r="70" ht="100" customHeight="1">
      <x:c r="A70" s="39" t="n">
        <x:v>86</x:v>
      </x:c>
      <x:c r="B70" s="39" t="str">
        <x:v>跟踪</x:v>
      </x:c>
      <x:c r="C70" s="39" t="str">
        <x:v>Tracking</x:v>
      </x:c>
      <x:c r="D70" s="39" t="str">
        <x:v>能力</x:v>
      </x:c>
      <x:c r="E70" s="39" t="str">
        <x:v>稀有</x:v>
      </x:c>
      <x:c r="F70" s="39" t="n">
        <x:v>2</x:v>
      </x:c>
      <x:c r="G70" s="39" t="n">
        <x:v>1</x:v>
      </x:c>
      <x:c r="H70" s="39" t="str">
        <x:v>对虚弱状态的敌人，你所造成的攻击伤害翻倍。</x:v>
      </x:c>
      <x:c r="I70" s="39" t="str">
        <x:v>对虚弱状态的敌人，你所造成的攻击伤害翻倍。</x:v>
      </x:c>
      <x:c r="J70" s="39" t="str">
        <x:v>无</x:v>
      </x:c>
      <x:c r="K70" s="39" t="str">
        <x:v>无</x:v>
      </x:c>
      <x:c r="L70" s="39" t="str">
        <x:v>单人 / 多人</x:v>
      </x:c>
      <x:c r="M70" s="39" t="str">
        <x:v>自身</x:v>
      </x:c>
      <x:c r="N70" s="39" t="str">
        <x:v>TRACKING</x:v>
      </x:c>
      <x:c r="O70" s="39" t="str">
        <x:v>https://spire-codex.com/zhs/cards/tracking</x:v>
      </x:c>
      <x:c r="P70" s="39" t="n">
        <x:v>20178</x:v>
      </x:c>
      <x:c r="Q70" s="39" t="str">
        <x:v>[30003,30003]</x:v>
      </x:c>
      <x:c r="R70" s="39" t="str">
        <x:v>对处于虚弱状态的敌人造成双倍攻击伤害。</x:v>
      </x:c>
      <x:c r="S70" s="39" t="str">
        <x:v>已实现；星星费用、奇巧、能力Buff和衍生牌以正式配置为准。</x:v>
      </x:c>
    </x:row>
    <x:row r="71" ht="100" customHeight="1">
      <x:c r="A71" s="39" t="n">
        <x:v>24</x:v>
      </x:c>
      <x:c r="B71" s="39" t="str">
        <x:v>触不可及</x:v>
      </x:c>
      <x:c r="C71" s="39" t="str">
        <x:v>Untouchable</x:v>
      </x:c>
      <x:c r="D71" s="39" t="str">
        <x:v>技能</x:v>
      </x:c>
      <x:c r="E71" s="39" t="str">
        <x:v>普通</x:v>
      </x:c>
      <x:c r="F71" s="39" t="n">
        <x:v>2</x:v>
      </x:c>
      <x:c r="G71" s="39" t="n">
        <x:v>2</x:v>
      </x:c>
      <x:c r="H71" s="39" t="str">
        <x:v>获得6点格挡。</x:v>
      </x:c>
      <x:c r="I71" s="39" t="str">
        <x:v>获得9点格挡。</x:v>
      </x:c>
      <x:c r="J71" s="39" t="str">
        <x:v>奇巧</x:v>
      </x:c>
      <x:c r="K71" s="39" t="str">
        <x:v>奇巧</x:v>
      </x:c>
      <x:c r="L71" s="39" t="str">
        <x:v>单人 / 多人</x:v>
      </x:c>
      <x:c r="M71" s="39" t="str">
        <x:v>自身</x:v>
      </x:c>
      <x:c r="N71" s="39" t="str">
        <x:v>UNTOUCHABLE</x:v>
      </x:c>
      <x:c r="O71" s="39" t="str">
        <x:v>https://spire-codex.com/zhs/cards/untouchable</x:v>
      </x:c>
      <x:c r="P71" s="39" t="n">
        <x:v>20206</x:v>
      </x:c>
      <x:c r="Q71" s="39" t="str">
        <x:v>[30002]</x:v>
      </x:c>
      <x:c r="R71" s="39" t="str">
        <x:v>获得6点格挡。奇巧。</x:v>
      </x:c>
      <x:c r="S71" s="39" t="str">
        <x:v>已实现；星星费用、奇巧、能力Buff和衍生牌以正式配置为准。</x:v>
      </x:c>
    </x:row>
    <x:row r="72" ht="100" customHeight="1">
      <x:c r="A72" s="39" t="n">
        <x:v>88</x:v>
      </x:c>
      <x:c r="B72" s="39" t="str">
        <x:v>幽魂形态</x:v>
      </x:c>
      <x:c r="C72" s="39" t="str">
        <x:v>Wraith Form</x:v>
      </x:c>
      <x:c r="D72" s="39" t="str">
        <x:v>能力</x:v>
      </x:c>
      <x:c r="E72" s="39" t="str">
        <x:v>先古</x:v>
      </x:c>
      <x:c r="F72" s="39" t="n">
        <x:v>3</x:v>
      </x:c>
      <x:c r="G72" s="39" t="n">
        <x:v>3</x:v>
      </x:c>
      <x:c r="H72" s="39" t="str">
        <x:v>获得2无实体。
在你的回合开始时，失去1点敏捷。</x:v>
      </x:c>
      <x:c r="I72" s="39" t="str">
        <x:v>获得3无实体。
在你的回合开始时，失去1点敏捷。</x:v>
      </x:c>
      <x:c r="J72" s="39" t="str">
        <x:v>无</x:v>
      </x:c>
      <x:c r="K72" s="39" t="str">
        <x:v>无</x:v>
      </x:c>
      <x:c r="L72" s="39" t="str">
        <x:v>单人 / 多人</x:v>
      </x:c>
      <x:c r="M72" s="39" t="str">
        <x:v>自身</x:v>
      </x:c>
      <x:c r="N72" s="39" t="str">
        <x:v>WRAITH_FORM</x:v>
      </x:c>
      <x:c r="O72" s="39" t="str">
        <x:v>https://spire-codex.com/zhs/cards/wraith_form</x:v>
      </x:c>
      <x:c r="P72" s="39" t="n">
        <x:v>20179</x:v>
      </x:c>
      <x:c r="Q72" s="39" t="str">
        <x:v>[30001,30002,30002]</x:v>
      </x:c>
      <x:c r="R72" s="39" t="str">
        <x:v>获得2层无实体。之后每回合开始时失去1点敏捷。先古牌，不进入普通商店和奖励。</x:v>
      </x:c>
      <x:c r="S72" s="39" t="str">
        <x:v>已实现；星星费用、奇巧、能力Buff和衍生牌以正式配置为准。</x:v>
      </x:c>
    </x:row>
    <x:row r="73" ht="6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6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32" customHeight="1">
      <x:c r="A75" s="9" t="str">
        <x:v>来源：Spire Codex 数据快照 main @170ab6a3cdcf06d7d054ccca9807f410b77dcbff；原作升级仅供参考，本游戏未新增升级系统。</x:v>
      </x:c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</x:row>
    <x:row r="76" ht="6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6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6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 ht="6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 ht="6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 ht="6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6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6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 ht="6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 ht="6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 ht="6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 ht="64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 ht="64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 ht="64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 ht="64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 ht="64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 ht="64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 ht="64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 ht="64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 ht="64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 ht="28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 ht="3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 ht="3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 ht="3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 ht="3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 ht="3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 ht="3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 ht="3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 ht="3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 ht="3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 ht="3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</x:sheetData>
  <x:mergeCells>
    <x:mergeCell ref="A99:C99"/>
    <x:mergeCell ref="D99:O99"/>
    <x:mergeCell ref="A100:C100"/>
    <x:mergeCell ref="D100:O100"/>
    <x:mergeCell ref="A101:C101"/>
    <x:mergeCell ref="D101:O101"/>
    <x:mergeCell ref="A102:C102"/>
    <x:mergeCell ref="D102:O102"/>
    <x:mergeCell ref="A103:C103"/>
    <x:mergeCell ref="D103:O103"/>
    <x:mergeCell ref="A104:C104"/>
    <x:mergeCell ref="D104:O104"/>
    <x:mergeCell ref="A105:C105"/>
    <x:mergeCell ref="D105:O105"/>
    <x:mergeCell ref="A106:C106"/>
    <x:mergeCell ref="D106:O106"/>
    <x:mergeCell ref="A107:C107"/>
    <x:mergeCell ref="D107:O107"/>
    <x:mergeCell ref="A108:C108"/>
    <x:mergeCell ref="D108:O108"/>
    <x:mergeCell ref="A75:S75"/>
  </x:mergeCells>
  <x:pageMargins left="0.7" right="0.7" top="0.75" bottom="0.75" header="0.3" footer="0.3"/>
  <x:tableParts count="1">
    <x:tablePart xmlns:r="http://schemas.openxmlformats.org/officeDocument/2006/relationships" r:id="Ra44803c042f74f5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2" hidden="0" customWidth="1"/>
    <x:col min="5" max="5" width="105" hidden="0" customWidth="1"/>
    <x:col min="6" max="6" width="47" hidden="0" customWidth="1"/>
    <x:col min="7" max="7" width="47" hidden="0" customWidth="1"/>
    <x:col min="8" max="8" width="56" hidden="0" customWidth="1"/>
    <x:col min="9" max="9" width="27" hidden="0" customWidth="1"/>
    <x:col min="10" max="10" width="64" hidden="0" customWidth="1"/>
  </x:cols>
  <x:sheetData>
    <x:row r="1">
      <x:c r="A1" s="9"/>
      <x:c r="B1" s="9"/>
      <x:c r="C1" s="9"/>
      <x:c r="D1" s="9"/>
      <x:c r="E1" s="9"/>
      <x:c r="F1"/>
      <x:c r="G1"/>
      <x:c r="H1"/>
      <x:c r="I1"/>
      <x:c r="J1"/>
    </x:row>
    <x:row r="2" ht="36" customHeight="1">
      <x:c r="A2" s="47" t="str">
        <x:v>已实现衍生牌与未接入卡牌</x:v>
      </x:c>
      <x:c r="B2" s="9"/>
      <x:c r="C2" s="9"/>
      <x:c r="D2" s="9"/>
      <x:c r="E2" s="9"/>
      <x:c r="F2"/>
      <x:c r="G2"/>
      <x:c r="H2"/>
      <x:c r="I2"/>
      <x:c r="J2"/>
    </x:row>
    <x:row r="3" ht="32" customHeight="1">
      <x:c r="A3" s="9" t="str">
        <x:v>衍生牌只在战斗中生成，不进入起始、普通商店和奖励；无新增选牌界面。</x:v>
      </x:c>
      <x:c r="B3" s="9"/>
      <x:c r="C3" s="9"/>
      <x:c r="D3" s="9"/>
      <x:c r="E3" s="9"/>
      <x:c r="F3"/>
      <x:c r="G3"/>
      <x:c r="H3"/>
      <x:c r="I3"/>
      <x:c r="J3"/>
    </x:row>
    <x:row r="4" ht="24" customHeight="1">
      <x:c r="A4" s="9"/>
      <x:c r="B4" s="9"/>
      <x:c r="C4" s="9"/>
      <x:c r="D4" s="9"/>
      <x:c r="E4" s="9"/>
      <x:c r="F4"/>
      <x:c r="G4"/>
      <x:c r="H4"/>
      <x:c r="I4"/>
      <x:c r="J4"/>
    </x:row>
    <x:row r="5" ht="32" customHeight="1">
      <x:c r="A5" s="45" t="str">
        <x:v>本游戏ID</x:v>
      </x:c>
      <x:c r="B5" s="45" t="str">
        <x:v>衍生牌</x:v>
      </x:c>
      <x:c r="C5" s="45" t="str">
        <x:v>骰子需求</x:v>
      </x:c>
      <x:c r="D5" s="45" t="str">
        <x:v>类型</x:v>
      </x:c>
      <x:c r="E5" s="45" t="str">
        <x:v>实现效果</x:v>
      </x:c>
      <x:c r="F5"/>
      <x:c r="G5"/>
      <x:c r="H5"/>
      <x:c r="I5"/>
      <x:c r="J5"/>
    </x:row>
    <x:row r="6" ht="64" customHeight="1">
      <x:c r="A6" s="9" t="n">
        <x:v>20168</x:v>
      </x:c>
      <x:c r="B6" s="9" t="str">
        <x:v>小刀</x:v>
      </x:c>
      <x:c r="C6" s="9" t="str">
        <x:v>[]</x:v>
      </x:c>
      <x:c r="D6" s="9" t="str">
        <x:v>ATTACK</x:v>
      </x:c>
      <x:c r="E6" s="9" t="str">
        <x:v>造成4点伤害。消耗。</x:v>
      </x:c>
      <x:c r="F6"/>
      <x:c r="G6"/>
      <x:c r="H6"/>
      <x:c r="I6"/>
      <x:c r="J6"/>
    </x:row>
    <x:row r="7" ht="84" customHeight="1">
      <x:c r="A7" s="9"/>
      <x:c r="B7" s="9"/>
      <x:c r="C7" s="9"/>
      <x:c r="D7" s="9"/>
      <x:c r="E7" s="9"/>
      <x:c r="F7"/>
      <x:c r="G7"/>
      <x:c r="H7"/>
      <x:c r="I7"/>
      <x:c r="J7"/>
    </x:row>
    <x:row r="8">
      <x:c r="A8" s="9"/>
      <x:c r="B8" s="9"/>
      <x:c r="C8" s="9"/>
      <x:c r="D8" s="9"/>
      <x:c r="E8" s="9"/>
    </x:row>
    <x:row r="9" ht="32" customHeight="1">
      <x:c r="A9" s="9" t="str">
        <x:v>以下仍未投放；不代表原作卡牌机制都已实现。已实现范围以第一页和正式配置为准。</x:v>
      </x:c>
      <x:c r="B9" s="9"/>
      <x:c r="C9" s="9"/>
      <x:c r="D9" s="9"/>
      <x:c r="E9" s="9"/>
    </x:row>
    <x:row r="10">
      <x:c r="A10" s="9"/>
      <x:c r="B10" s="9"/>
      <x:c r="C10" s="9"/>
      <x:c r="D10" s="9"/>
      <x:c r="E10" s="9"/>
    </x:row>
    <x:row r="11" ht="32" customHeight="1">
      <x:c r="A11" s="45" t="str">
        <x:v>原作卡名</x:v>
      </x:c>
      <x:c r="B11" s="45" t="str">
        <x:v>原作卡牌ID</x:v>
      </x:c>
      <x:c r="C11" s="45" t="str">
        <x:v>类型</x:v>
      </x:c>
      <x:c r="D11" s="45" t="str">
        <x:v>稀有度</x:v>
      </x:c>
      <x:c r="E11" s="45" t="str">
        <x:v>未接入原因</x:v>
      </x:c>
    </x:row>
    <x:row r="12" ht="54" customHeight="1">
      <x:c r="A12" s="9" t="str">
        <x:v>残影</x:v>
      </x:c>
      <x:c r="B12" s="9" t="str">
        <x:v>BLUR</x:v>
      </x:c>
      <x:c r="C12" s="9" t="str">
        <x:v>技能</x:v>
      </x:c>
      <x:c r="D12" s="9" t="str">
        <x:v>罕见</x:v>
      </x:c>
      <x:c r="E12" s="9" t="str">
        <x:v>需要仅在下一次回合开始保留格挡。</x:v>
      </x:c>
    </x:row>
    <x:row r="13" ht="54" customHeight="1">
      <x:c r="A13" s="9" t="str">
        <x:v>子弹时间</x:v>
      </x:c>
      <x:c r="B13" s="9" t="str">
        <x:v>BULLET_TIME</x:v>
      </x:c>
      <x:c r="C13" s="9" t="str">
        <x:v>技能</x:v>
      </x:c>
      <x:c r="D13" s="9" t="str">
        <x:v>稀有</x:v>
      </x:c>
      <x:c r="E13" s="9" t="str">
        <x:v>需要整手临时免骰且封锁后续抽牌。</x:v>
      </x:c>
    </x:row>
    <x:row r="14" ht="54" customHeight="1">
      <x:c r="A14" s="9" t="str">
        <x:v>爆发</x:v>
      </x:c>
      <x:c r="B14" s="9" t="str">
        <x:v>BURST</x:v>
      </x:c>
      <x:c r="C14" s="9" t="str">
        <x:v>技能</x:v>
      </x:c>
      <x:c r="D14" s="9" t="str">
        <x:v>稀有</x:v>
      </x:c>
      <x:c r="E14" s="9" t="str">
        <x:v>需要下一张技能重放，当前仅支持攻击重放。</x:v>
      </x:c>
    </x:row>
    <x:row r="15" ht="54" customHeight="1">
      <x:c r="A15" s="9" t="str">
        <x:v>回响斩击</x:v>
      </x:c>
      <x:c r="B15" s="9" t="str">
        <x:v>ECHOING_SLASH</x:v>
      </x:c>
      <x:c r="C15" s="9" t="str">
        <x:v>攻击</x:v>
      </x:c>
      <x:c r="D15" s="9" t="str">
        <x:v>稀有</x:v>
      </x:c>
      <x:c r="E15" s="9" t="str">
        <x:v>击杀后继续群攻在单敌战斗中没有后续目标。</x:v>
      </x:c>
    </x:row>
    <x:row r="16" ht="54" customHeight="1">
      <x:c r="A16" s="9" t="str">
        <x:v>逃脱计划</x:v>
      </x:c>
      <x:c r="B16" s="9" t="str">
        <x:v>ESCAPE_PLAN</x:v>
      </x:c>
      <x:c r="C16" s="9" t="str">
        <x:v>技能</x:v>
      </x:c>
      <x:c r="D16" s="9" t="str">
        <x:v>罕见</x:v>
      </x:c>
      <x:c r="E16" s="9" t="str">
        <x:v>需要抽牌后读取刚抽取的具体牌型。</x:v>
      </x:c>
    </x:row>
    <x:row r="17" ht="54" customHeight="1">
      <x:c r="A17" s="9" t="str">
        <x:v>刀扇</x:v>
      </x:c>
      <x:c r="B17" s="9" t="str">
        <x:v>FAN_OF_KNIVES</x:v>
      </x:c>
      <x:c r="C17" s="9" t="str">
        <x:v>能力</x:v>
      </x:c>
      <x:c r="D17" s="9" t="str">
        <x:v>稀有</x:v>
      </x:c>
      <x:c r="E17" s="9" t="str">
        <x:v>持续效果为小刀群攻，单敌环境没有该收益，需要重新设计。</x:v>
      </x:c>
    </x:row>
    <x:row r="18" ht="54" customHeight="1">
      <x:c r="A18" s="9" t="str">
        <x:v>夹击</x:v>
      </x:c>
      <x:c r="B18" s="9" t="str">
        <x:v>FLANKING</x:v>
      </x:c>
      <x:c r="C18" s="9" t="str">
        <x:v>技能</x:v>
      </x:c>
      <x:c r="D18" s="9" t="str">
        <x:v>罕见</x:v>
      </x:c>
      <x:c r="E18" s="9" t="str">
        <x:v>需要其他玩家参与攻击，本游戏没有其他玩家。</x:v>
      </x:c>
    </x:row>
    <x:row r="19" ht="54" customHeight="1">
      <x:c r="A19" s="9" t="str">
        <x:v>华丽收场</x:v>
      </x:c>
      <x:c r="B19" s="9" t="str">
        <x:v>GRAND_FINALE</x:v>
      </x:c>
      <x:c r="C19" s="9" t="str">
        <x:v>攻击</x:v>
      </x:c>
      <x:c r="D19" s="9" t="str">
        <x:v>稀有</x:v>
      </x:c>
      <x:c r="E19" s="9" t="str">
        <x:v>需要抽牌堆为空的打出前置条件与单敌数值平衡。</x:v>
      </x:c>
    </x:row>
    <x:row r="20" ht="54" customHeight="1">
      <x:c r="A20" s="9" t="str">
        <x:v>手上技法</x:v>
      </x:c>
      <x:c r="B20" s="9" t="str">
        <x:v>HAND_TRICK</x:v>
      </x:c>
      <x:c r="C20" s="9" t="str">
        <x:v>技能</x:v>
      </x:c>
      <x:c r="D20" s="9" t="str">
        <x:v>罕见</x:v>
      </x:c>
      <x:c r="E20" s="9" t="str">
        <x:v>选择技能附加临时奇巧，需要单卡属性选择机制。</x:v>
      </x:c>
    </x:row>
    <x:row r="21" ht="54" customHeight="1">
      <x:c r="A21" s="9" t="str">
        <x:v>刀刃陷阱</x:v>
      </x:c>
      <x:c r="B21" s="9" t="str">
        <x:v>KNIFE_TRAP</x:v>
      </x:c>
      <x:c r="C21" s="9" t="str">
        <x:v>技能</x:v>
      </x:c>
      <x:c r="D21" s="9" t="str">
        <x:v>稀有</x:v>
      </x:c>
      <x:c r="E21" s="9" t="str">
        <x:v>需要将消耗堆全部小刀按快照依次重放。</x:v>
      </x:c>
    </x:row>
    <x:row r="22" ht="54" customHeight="1">
      <x:c r="A22" s="9" t="str">
        <x:v>萎靡</x:v>
      </x:c>
      <x:c r="B22" s="9" t="str">
        <x:v>MALAISE</x:v>
      </x:c>
      <x:c r="C22" s="9" t="str">
        <x:v>技能</x:v>
      </x:c>
      <x:c r="D22" s="9" t="str">
        <x:v>稀有</x:v>
      </x:c>
      <x:c r="E22" s="9" t="str">
        <x:v>X费用需要耗尽可用资源并转换为动态次数；当前仍使用固定骰子费用。</x:v>
      </x:c>
    </x:row>
    <x:row r="23" ht="54" customHeight="1">
      <x:c r="A23" s="9" t="str">
        <x:v>夜魇</x:v>
      </x:c>
      <x:c r="B23" s="9" t="str">
        <x:v>NIGHTMARE</x:v>
      </x:c>
      <x:c r="C23" s="9" t="str">
        <x:v>技能</x:v>
      </x:c>
      <x:c r="D23" s="9" t="str">
        <x:v>稀有</x:v>
      </x:c>
      <x:c r="E23" s="9" t="str">
        <x:v>选择任意卡牌后延迟复制，需要补选牌快照和延迟副本机制。</x:v>
      </x:c>
    </x:row>
    <x:row r="24" ht="54" customHeight="1">
      <x:c r="A24" s="9" t="str">
        <x:v>精密瞄准</x:v>
      </x:c>
      <x:c r="B24" s="9" t="str">
        <x:v>PINPOINT</x:v>
      </x:c>
      <x:c r="C24" s="9" t="str">
        <x:v>攻击</x:v>
      </x:c>
      <x:c r="D24" s="9" t="str">
        <x:v>罕见</x:v>
      </x:c>
      <x:c r="E24" s="9" t="str">
        <x:v>需要按技能出牌次数动态减骰。</x:v>
      </x:c>
    </x:row>
    <x:row r="25" ht="54" customHeight="1">
      <x:c r="A25" s="9" t="str">
        <x:v>猛扑</x:v>
      </x:c>
      <x:c r="B25" s="9" t="str">
        <x:v>POUNCE</x:v>
      </x:c>
      <x:c r="C25" s="9" t="str">
        <x:v>攻击</x:v>
      </x:c>
      <x:c r="D25" s="9" t="str">
        <x:v>罕见</x:v>
      </x:c>
      <x:c r="E25" s="9" t="str">
        <x:v>需要下一张技能免骰，当前仅支持攻击免骰。</x:v>
      </x:c>
    </x:row>
    <x:row r="26" ht="54" customHeight="1">
      <x:c r="A26" s="9" t="str">
        <x:v>融入暗影</x:v>
      </x:c>
      <x:c r="B26" s="9" t="str">
        <x:v>SHADOWMELD</x:v>
      </x:c>
      <x:c r="C26" s="9" t="str">
        <x:v>技能</x:v>
      </x:c>
      <x:c r="D26" s="9" t="str">
        <x:v>稀有</x:v>
      </x:c>
      <x:c r="E26" s="9" t="str">
        <x:v>需要本回合后续获得格挡的动态倍率。</x:v>
      </x:c>
    </x:row>
    <x:row r="27" ht="54" customHeight="1">
      <x:c r="A27" s="9" t="str">
        <x:v>暗影步</x:v>
      </x:c>
      <x:c r="B27" s="9" t="str">
        <x:v>SHADOW_STEP</x:v>
      </x:c>
      <x:c r="C27" s="9" t="str">
        <x:v>技能</x:v>
      </x:c>
      <x:c r="D27" s="9" t="str">
        <x:v>稀有</x:v>
      </x:c>
      <x:c r="E27" s="9" t="str">
        <x:v>需要保留当前手牌与下一回合攻击倍率。</x:v>
      </x:c>
    </x:row>
    <x:row r="28" ht="54" customHeight="1">
      <x:c r="A28" s="9" t="str">
        <x:v>串刺</x:v>
      </x:c>
      <x:c r="B28" s="9" t="str">
        <x:v>SKEWER</x:v>
      </x:c>
      <x:c r="C28" s="9" t="str">
        <x:v>攻击</x:v>
      </x:c>
      <x:c r="D28" s="9" t="str">
        <x:v>罕见</x:v>
      </x:c>
      <x:c r="E28" s="9" t="str">
        <x:v>X费用需要耗尽可用资源并转换为动态次数；当前仍使用固定骰子费用。</x:v>
      </x:c>
    </x:row>
    <x:row r="29" ht="54" customHeight="1">
      <x:c r="A29" s="9" t="str">
        <x:v>鬼祟</x:v>
      </x:c>
      <x:c r="B29" s="9" t="str">
        <x:v>SNEAKY</x:v>
      </x:c>
      <x:c r="C29" s="9" t="str">
        <x:v>能力</x:v>
      </x:c>
      <x:c r="D29" s="9" t="str">
        <x:v>稀有</x:v>
      </x:c>
      <x:c r="E29" s="9" t="str">
        <x:v>多人队友触发，本游戏没有其他玩家。</x:v>
      </x:c>
    </x:row>
    <x:row r="30" ht="54" customHeight="1">
      <x:c r="A30" s="9" t="str">
        <x:v>紧勒</x:v>
      </x:c>
      <x:c r="B30" s="9" t="str">
        <x:v>STRANGLE</x:v>
      </x:c>
      <x:c r="C30" s="9" t="str">
        <x:v>攻击</x:v>
      </x:c>
      <x:c r="D30" s="9" t="str">
        <x:v>罕见</x:v>
      </x:c>
      <x:c r="E30" s="9" t="str">
        <x:v>需要排除自身的后续出牌扣血监听。</x:v>
      </x:c>
    </x:row>
    <x:row r="31" ht="54" customHeight="1">
      <x:c r="A31" s="9" t="str">
        <x:v>压制</x:v>
      </x:c>
      <x:c r="B31" s="9" t="str">
        <x:v>SUPPRESS</x:v>
      </x:c>
      <x:c r="C31" s="9" t="str">
        <x:v>攻击</x:v>
      </x:c>
      <x:c r="D31" s="9" t="str">
        <x:v>先古</x:v>
      </x:c>
      <x:c r="E31" s="9" t="str">
        <x:v>先古特殊攻击牌，本次能力补齐范围未投放此牌。</x:v>
      </x:c>
    </x:row>
    <x:row r="32" ht="54" customHeight="1">
      <x:c r="A32" s="9" t="str">
        <x:v>狩猎</x:v>
      </x:c>
      <x:c r="B32" s="9" t="str">
        <x:v>THE_HUNT</x:v>
      </x:c>
      <x:c r="C32" s="9" t="str">
        <x:v>攻击</x:v>
      </x:c>
      <x:c r="D32" s="9" t="str">
        <x:v>稀有</x:v>
      </x:c>
      <x:c r="E32" s="9" t="str">
        <x:v>击杀追加卡牌奖励，需要奖励流程扩展。</x:v>
      </x:c>
    </x:row>
    <x:row r="33" ht="54" customHeight="1">
      <x:c r="A33" s="9" t="str">
        <x:v>袖里乾坤</x:v>
      </x:c>
      <x:c r="B33" s="9" t="str">
        <x:v>UP_MY_SLEEVE</x:v>
      </x:c>
      <x:c r="C33" s="9" t="str">
        <x:v>技能</x:v>
      </x:c>
      <x:c r="D33" s="9" t="str">
        <x:v>罕见</x:v>
      </x:c>
      <x:c r="E33" s="9" t="str">
        <x:v>需要实例费用永久递减。</x:v>
      </x:c>
    </x:row>
    <x:row r="34" ht="54" customHeight="1">
      <x:c r="A34" s="9" t="str">
        <x:v>计划妥当</x:v>
      </x:c>
      <x:c r="B34" s="9" t="str">
        <x:v>WELL_LAID_PLANS</x:v>
      </x:c>
      <x:c r="C34" s="9" t="str">
        <x:v>能力</x:v>
      </x:c>
      <x:c r="D34" s="9" t="str">
        <x:v>罕见</x:v>
      </x:c>
      <x:c r="E34" s="9" t="str">
        <x:v>需要回合末选择保留牌，本次按要求不新增选牌界面。</x:v>
      </x:c>
    </x:row>
    <x:row r="35">
      <x:c r="A35" s="9"/>
      <x:c r="B35" s="9"/>
      <x:c r="C35" s="9"/>
      <x:c r="D35" s="9"/>
      <x:c r="E35" s="9"/>
    </x:row>
  </x:sheetData>
  <x:mergeCells>
    <x:mergeCell ref="A2:E2"/>
    <x:mergeCell ref="A3:E3"/>
    <x:mergeCell ref="A9:E9"/>
  </x:mergeCells>
  <x:pageMargins left="0.7" right="0.7" top="0.75" bottom="0.75" header="0.3" footer="0.3"/>
  <x:tableParts count="1">
    <x:tablePart xmlns:r="http://schemas.openxmlformats.org/officeDocument/2006/relationships" r:id="Raa797cdc41864329"/>
  </x:tableParts>
</x:worksheet>
</file>